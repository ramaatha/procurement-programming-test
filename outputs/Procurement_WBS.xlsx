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ma Atha\Procurement Website - Programming Test\outputs\"/>
    </mc:Choice>
  </mc:AlternateContent>
  <xr:revisionPtr revIDLastSave="0" documentId="13_ncr:1_{570CCC69-B1A5-471C-8471-1EA5B49D348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WBS" sheetId="1" r:id="rId1"/>
    <sheet name="Tracki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3" i="2" l="1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H4" i="1"/>
  <c r="F4" i="1"/>
  <c r="D4" i="1"/>
  <c r="B4" i="1"/>
</calcChain>
</file>

<file path=xl/sharedStrings.xml><?xml version="1.0" encoding="utf-8"?>
<sst xmlns="http://schemas.openxmlformats.org/spreadsheetml/2006/main" count="364" uniqueCount="215">
  <si>
    <t>WBS Procurement</t>
  </si>
  <si>
    <t>Progres per 22 Oktober 2026</t>
  </si>
  <si>
    <t>Level 1: modul  |  Level 2: paket kerja  |  Status menyatakan penyelesaian paket secara keseluruhan.</t>
  </si>
  <si>
    <t>Paket</t>
  </si>
  <si>
    <t>Terverifikasi</t>
  </si>
  <si>
    <t>Dikerjakan</t>
  </si>
  <si>
    <t>Ditunda</t>
  </si>
  <si>
    <t>Dikerjakan: baru sebagian selesai. Terverifikasi: seluruh kriteria telah diperiksa. Disetujui: baseline kebutuhan ditetapkan.</t>
  </si>
  <si>
    <t>Urutan implementasi mengikuti dependensi. Izin objek dan modul pengadaan masih perlu dibangun; AI/CV ditunda.</t>
  </si>
  <si>
    <t>ID WBS</t>
  </si>
  <si>
    <t>Level</t>
  </si>
  <si>
    <t>Modul / fitur</t>
  </si>
  <si>
    <t>Hasil dan kriteria selesai</t>
  </si>
  <si>
    <t>Pelaksana</t>
  </si>
  <si>
    <t>Prioritas</t>
  </si>
  <si>
    <t>Dependensi WBS</t>
  </si>
  <si>
    <t>Status</t>
  </si>
  <si>
    <t>1</t>
  </si>
  <si>
    <t>Analisis dan rancangan</t>
  </si>
  <si>
    <t>1.1</t>
  </si>
  <si>
    <t>BPMN swimlane</t>
  </si>
  <si>
    <t>Lima halaman BPMN dan draw.io selaras; peran, revisi, pesan vendor serta cabang batal/penutupan sisa dapat ditelusuri.</t>
  </si>
  <si>
    <t>Analis</t>
  </si>
  <si>
    <t>Wajib</t>
  </si>
  <si>
    <t>1.3</t>
  </si>
  <si>
    <t>1.2</t>
  </si>
  <si>
    <t>WBS modul dan fitur</t>
  </si>
  <si>
    <t>Tujuh modul dan 27 paket kerja; dependensi valid, kriteria selesai jelas, status terhubung ke lembar keterlacakan.</t>
  </si>
  <si>
    <t>1.1; 1.3</t>
  </si>
  <si>
    <t>PRD dan aturan proses</t>
  </si>
  <si>
    <t>Cakupan, peran, status, aturan bisnis dan kriteria penerimaan ditetapkan sebagai acuan pengembangan.</t>
  </si>
  <si>
    <t>-</t>
  </si>
  <si>
    <t>Disetujui</t>
  </si>
  <si>
    <t>1.4</t>
  </si>
  <si>
    <t>Arsitektur dan keamanan</t>
  </si>
  <si>
    <t>Arsitektur Django, sesi, izin server dan rahasia terdokumentasi. Fondasi autentikasi tersedia; penerapan pada modul pengadaan belum selesai.</t>
  </si>
  <si>
    <t>Engineer</t>
  </si>
  <si>
    <t>1.5</t>
  </si>
  <si>
    <t>Schema dan migrasi</t>
  </si>
  <si>
    <t>Model data dan kontrak transaksi dirancang; migrasi akun tersedia. Migrasi request, penawaran, PO, penerimaan dan audit belum selesai.</t>
  </si>
  <si>
    <t>1.3; 1.4</t>
  </si>
  <si>
    <t>1.6</t>
  </si>
  <si>
    <t>Desain antarmuka</t>
  </si>
  <si>
    <t>Navigasi per peran, layout form/tabel, token visual, state dan perilaku layar kecil ditetapkan sebelum styling.</t>
  </si>
  <si>
    <t>Direncanakan</t>
  </si>
  <si>
    <t>2</t>
  </si>
  <si>
    <t>Akses dan permintaan</t>
  </si>
  <si>
    <t>2.1</t>
  </si>
  <si>
    <t>Autentikasi dan hak akses</t>
  </si>
  <si>
    <t>Login/logout dan akun nonaktif sudah diuji. Selesai setelah izin per peran, kepemilikan objek dan larangan self-approval teruji pada modul pengadaan.</t>
  </si>
  <si>
    <t>1.4; 1.5</t>
  </si>
  <si>
    <t>2.2</t>
  </si>
  <si>
    <t>Request dan rincian item</t>
  </si>
  <si>
    <t>Draft dan submit satu jenis barang/jasa; item, qty, estimasi dan tanggal valid; total dihitung server; revisi aktif disimpan sebagai snapshot.</t>
  </si>
  <si>
    <t>2.3</t>
  </si>
  <si>
    <t>Persetujuan, revisi dan penolakan</t>
  </si>
  <si>
    <t>Satu keputusan per revisi; alasan revisi/penolakan wajib. Self-approval, revisi usang dan keputusan berulang ditolak tanpa perubahan parsial.</t>
  </si>
  <si>
    <t>2.4</t>
  </si>
  <si>
    <t>Riwayat revisi request</t>
  </si>
  <si>
    <t>Snapshot submit tetap utuh. Submit ulang memakai revisi baru; penawaran dan persetujuan lama tidak dapat dipakai menerbitkan PO.</t>
  </si>
  <si>
    <t>2.2; 2.3</t>
  </si>
  <si>
    <t>3</t>
  </si>
  <si>
    <t>Sourcing dan purchase order</t>
  </si>
  <si>
    <t>3.1</t>
  </si>
  <si>
    <t>Master vendor</t>
  </si>
  <si>
    <t>Nama/kontak vendor valid; vendor dapat dinonaktifkan tanpa menghapus hubungan dan dokumen historis.</t>
  </si>
  <si>
    <t>3.2</t>
  </si>
  <si>
    <t>Pencatatan dan perbandingan penawaran</t>
  </si>
  <si>
    <t>Penawaran mencakup tepat seluruh item/qty revisi aktif, harga final, referensi, masa berlaku dan jadwal pemenuhan yang valid.</t>
  </si>
  <si>
    <t>2.3; 3.1</t>
  </si>
  <si>
    <t>3.3</t>
  </si>
  <si>
    <t>Pemilihan vendor dan revisi plafon</t>
  </si>
  <si>
    <t>Vendor dipilih dengan alasan, termasuk sumber tunggal. Perubahan kebutuhan/plafon dikembalikan untuk revisi dan persetujuan ulang.</t>
  </si>
  <si>
    <t>3.2; 2.4</t>
  </si>
  <si>
    <t>3.4</t>
  </si>
  <si>
    <t>Penerbitan purchase order</t>
  </si>
  <si>
    <t>Tepat satu PO per request; vendor aktif, penawaran berlaku dan total tidak melebihi plafon. Snapshot, versi dan deduplikasi diperiksa atomik.</t>
  </si>
  <si>
    <t>3.5</t>
  </si>
  <si>
    <t>Dokumen PO dan komunikasi manual</t>
  </si>
  <si>
    <t>PO dapat dibaca/dicetak dengan item, harga, vendor dan tujuan pemenuhan lengkap; penyampaian ke vendor dilakukan manual.</t>
  </si>
  <si>
    <t>4</t>
  </si>
  <si>
    <t>Penerimaan dan pengecualian</t>
  </si>
  <si>
    <t>4.1</t>
  </si>
  <si>
    <t>Penerimaan barang bertahap</t>
  </si>
  <si>
    <t>Penerimaan bertahap mencatat accepted/rejected dan referensi; penolakan beralasan. Sisa = ordered dikurangi accepted kumulatif; status PO sesuai hasil.</t>
  </si>
  <si>
    <t>4.2</t>
  </si>
  <si>
    <t>Penerimaan jasa</t>
  </si>
  <si>
    <t>Periode awal &lt;= akhir &lt;= tanggal konfirmasi; referensi dan hasil jasa tercatat. Accepted/rejected dan status mengikuti aturan penerimaan.</t>
  </si>
  <si>
    <t>4.3</t>
  </si>
  <si>
    <t>Pembatalan dan penutupan sisa</t>
  </si>
  <si>
    <t>Pemohon membatalkan PR sendiri sebelum PO. Approver lain menutup PO terbuka: accepted nol menjadi CANCELLED, sebagian menjadi CLOSED_SHORT; alasan dan histori utuh.</t>
  </si>
  <si>
    <t>2.2; 3.4; 4.1; 4.2</t>
  </si>
  <si>
    <t>4.4</t>
  </si>
  <si>
    <t>Konsistensi transaksi penerimaan</t>
  </si>
  <si>
    <t>Posting multi-item all-or-nothing; item harus milik PO. Versi usang, pengiriman ulang dan aksi bersamaan tidak menyebabkan kelebihan accepted atau status bertentangan.</t>
  </si>
  <si>
    <t>4.1; 4.2; 4.3</t>
  </si>
  <si>
    <t>5</t>
  </si>
  <si>
    <t>Tracking dan pengalaman pengguna</t>
  </si>
  <si>
    <t>5.1</t>
  </si>
  <si>
    <t>Tracking, filter dan audit</t>
  </si>
  <si>
    <t>Pencarian nomor/judul, filter jenis/tahap, sisa per item dan audit aktor/waktu/alasan tersedia sesuai izin; tahap operasional mengikuti PO.</t>
  </si>
  <si>
    <t>2.1; 3.4; 4.1; 4.2</t>
  </si>
  <si>
    <t>5.2</t>
  </si>
  <si>
    <t>UI responsive dan aksesibilitas</t>
  </si>
  <si>
    <t>Navigasi dan form dapat dipakai lewat keyboard; focus dan kontras jelas; tabel/form tetap terbaca pada desktop dan layar kecil tanpa overflow halaman.</t>
  </si>
  <si>
    <t>1.6; 2.1</t>
  </si>
  <si>
    <t>5.3</t>
  </si>
  <si>
    <t>State dan pesan kesalahan</t>
  </si>
  <si>
    <t>Empty/loading/error tampil sesuai kondisi; input aman dipertahankan; pesan tidak membocorkan detail internal; submit ganda ditangani server.</t>
  </si>
  <si>
    <t>6</t>
  </si>
  <si>
    <t>Pengujian dan pengumpulan</t>
  </si>
  <si>
    <t>6.1</t>
  </si>
  <si>
    <t>Setup, data demo dan README</t>
  </si>
  <si>
    <t>Setup lokal, dependency dan README tersedia. Selesai setelah migrasi domain, data demo sintetis per peran dan langkah menjalankan terbukti dari instalasi bersih.</t>
  </si>
  <si>
    <t>1.4; 1.5; 2.1</t>
  </si>
  <si>
    <t>6.2</t>
  </si>
  <si>
    <t>Pengujian dan regresi</t>
  </si>
  <si>
    <t>23 pengujian fondasi sudah lulus. Selesai setelah TC-01..TC-19 mencakup aturan domain, izin objek, angka, status, snapshot, duplikasi, race dan alur browser.</t>
  </si>
  <si>
    <t>2.3; 3.5; 4.3; 4.4; 5.1; 5.3</t>
  </si>
  <si>
    <t>6.3</t>
  </si>
  <si>
    <t>Verifikasi keamanan dasar</t>
  </si>
  <si>
    <t>Validasi server, CSRF, sesi, akses objek, rahasia dan error diperiksa pada alur lengkap; data demo sintetis dan pengaturan production diverifikasi.</t>
  </si>
  <si>
    <t>6.1; 6.2</t>
  </si>
  <si>
    <t>6.4</t>
  </si>
  <si>
    <t>Paket penyerahan</t>
  </si>
  <si>
    <t>Satu BPMN PDF, satu WBS Excel dan URL repository siap ditinjau; akses repo, kelengkapan source code, petunjuk setup dan lampiran diperiksa.</t>
  </si>
  <si>
    <t>1.1; 1.2; 6.1; 6.2; 6.3</t>
  </si>
  <si>
    <t>7</t>
  </si>
  <si>
    <t>Nilai tambahan</t>
  </si>
  <si>
    <t>7.1</t>
  </si>
  <si>
    <t>Bantuan input AI / Computer Vision</t>
  </si>
  <si>
    <t>Opsional setelah alur wajib teruji. Hasil bantuan input menjadi draft yang ditinjau pengguna; input manual tetap berjalan saat layanan gagal.</t>
  </si>
  <si>
    <t>Opsional</t>
  </si>
  <si>
    <t>6.2; 6.3</t>
  </si>
  <si>
    <t>Keterlacakan kebutuhan dan pengujian</t>
  </si>
  <si>
    <t>ID paket menghubungkan WBS, kebutuhan, aktivitas BPMN dan skenario uji. Status mengikuti lembar WBS secara otomatis.</t>
  </si>
  <si>
    <t>FR: kebutuhan fitur  |  BP/GW: aktivitas dan keputusan  |  TC: skenario uji  |  EX/US/OPT: cakupan, penyerahan dan opsi tambahan.</t>
  </si>
  <si>
    <t>ID kebutuhan</t>
  </si>
  <si>
    <t>Aktivitas / gateway BPMN</t>
  </si>
  <si>
    <t>Skenario uji / bukti</t>
  </si>
  <si>
    <t>Kategori kebutuhan</t>
  </si>
  <si>
    <t>EX-02</t>
  </si>
  <si>
    <t>BP-01..BP-15; GW-01..GW-06</t>
  </si>
  <si>
    <t>Review lima halaman, cabang proses dan keselarasan PDF/draw.io</t>
  </si>
  <si>
    <t>Dokumen perencanaan</t>
  </si>
  <si>
    <t>EX-03</t>
  </si>
  <si>
    <t>Seluruh BP/GW</t>
  </si>
  <si>
    <t>Review hierarki, dependensi, formula status dan keterlacakan</t>
  </si>
  <si>
    <t>EX-06; FR-01..FR-13</t>
  </si>
  <si>
    <t>BP-00..BP-16</t>
  </si>
  <si>
    <t>Review kebutuhan</t>
  </si>
  <si>
    <t>Kebutuhan produk</t>
  </si>
  <si>
    <t>EX-05; FR-01; FR-12</t>
  </si>
  <si>
    <t>BP-00</t>
  </si>
  <si>
    <t>TC-01; TC-02</t>
  </si>
  <si>
    <t>Rancangan teknis</t>
  </si>
  <si>
    <t>EX-05; FR-02; FR-07; FR-08</t>
  </si>
  <si>
    <t>BP-02; BP-08; BP-13</t>
  </si>
  <si>
    <t>TC-04; TC-11; TC-13</t>
  </si>
  <si>
    <t>FR-12</t>
  </si>
  <si>
    <t>Seluruh BP internal</t>
  </si>
  <si>
    <t>TC-18</t>
  </si>
  <si>
    <t>FR-01</t>
  </si>
  <si>
    <t>TC-01; TC-02 (izin objek belum lengkap)</t>
  </si>
  <si>
    <t>FR-02</t>
  </si>
  <si>
    <t>BP-01; BP-02</t>
  </si>
  <si>
    <t>TC-03; TC-04</t>
  </si>
  <si>
    <t>FR-03</t>
  </si>
  <si>
    <t>BP-03; GW-01</t>
  </si>
  <si>
    <t>TC-05; TC-06</t>
  </si>
  <si>
    <t>FR-06</t>
  </si>
  <si>
    <t>BP-02; BP-07</t>
  </si>
  <si>
    <t>TC-10</t>
  </si>
  <si>
    <t>FR-04</t>
  </si>
  <si>
    <t>BP-04</t>
  </si>
  <si>
    <t>TC-07</t>
  </si>
  <si>
    <t>FR-05</t>
  </si>
  <si>
    <t>BP-05; GW-02</t>
  </si>
  <si>
    <t>TC-08</t>
  </si>
  <si>
    <t>BP-06; BP-07; GW-03</t>
  </si>
  <si>
    <t>TC-09; TC-10</t>
  </si>
  <si>
    <t>FR-07</t>
  </si>
  <si>
    <t>BP-08; GW-03</t>
  </si>
  <si>
    <t>TC-11</t>
  </si>
  <si>
    <t>BP-09</t>
  </si>
  <si>
    <t>FR-08</t>
  </si>
  <si>
    <t>BP-10; BP-11; BP-13; GW-04; GW-05</t>
  </si>
  <si>
    <t>TC-12; TC-13</t>
  </si>
  <si>
    <t>FR-09</t>
  </si>
  <si>
    <t>BP-10; BP-12; BP-13; GW-04; GW-05</t>
  </si>
  <si>
    <t>TC-14</t>
  </si>
  <si>
    <t>FR-10</t>
  </si>
  <si>
    <t>BP-14; BP-15; GW-06</t>
  </si>
  <si>
    <t>TC-15; TC-16</t>
  </si>
  <si>
    <t>FR-08; FR-09; FR-10</t>
  </si>
  <si>
    <t>BP-08; BP-13; BP-14; BP-15</t>
  </si>
  <si>
    <t>TC-11; TC-13; TC-16</t>
  </si>
  <si>
    <t>FR-11</t>
  </si>
  <si>
    <t>BP-16</t>
  </si>
  <si>
    <t>TC-17</t>
  </si>
  <si>
    <t>EX-04; EX-05; FR-13</t>
  </si>
  <si>
    <t>TC-19</t>
  </si>
  <si>
    <t>FR-01..FR-13</t>
  </si>
  <si>
    <t>TC-01..TC-19; 23 uji fondasi sudah lulus</t>
  </si>
  <si>
    <t>FR-01; FR-12; FR-13</t>
  </si>
  <si>
    <t>BP-00; BP-02; BP-13</t>
  </si>
  <si>
    <t>TC-02; TC-19</t>
  </si>
  <si>
    <t>EX-02; EX-03; EX-04; US-02</t>
  </si>
  <si>
    <t>Seluruh proses</t>
  </si>
  <si>
    <t>Review lampiran, setup dan akses repository</t>
  </si>
  <si>
    <t>Kelengkapan penyerahan</t>
  </si>
  <si>
    <t>OPT-01; EX-07</t>
  </si>
  <si>
    <t>Sebelum BP-01</t>
  </si>
  <si>
    <t>Uji integrasi bila dipilih</t>
  </si>
  <si>
    <t>Pengembangan opsional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</si>
</sst>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0"/>
      <color rgb="FFFFFFFF"/>
      <name val="Arial"/>
    </font>
    <font>
      <sz val="10"/>
      <color rgb="FF243746"/>
      <name val="Arial"/>
    </font>
    <font>
      <b/>
      <sz val="10"/>
      <color rgb="FF243746"/>
      <name val="Arial"/>
    </font>
    <font>
      <b/>
      <sz val="17"/>
      <color rgb="FF172B3A"/>
      <name val="Arial"/>
    </font>
    <font>
      <b/>
      <sz val="13"/>
      <color rgb="FF172B3A"/>
      <name val="Arial"/>
    </font>
    <font>
      <sz val="10"/>
      <color rgb="FF52657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304A5B"/>
      </patternFill>
    </fill>
    <fill>
      <patternFill patternType="solid">
        <fgColor rgb="FFEEF2F4"/>
      </patternFill>
    </fill>
    <fill>
      <patternFill patternType="solid">
        <fgColor rgb="FFE6ECEF"/>
      </patternFill>
    </fill>
    <fill>
      <patternFill patternType="solid">
        <fgColor rgb="FFF6F8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0" xfId="0" applyFont="1" applyFill="1"/>
    <xf numFmtId="49" fontId="2" fillId="2" borderId="0" xfId="0" applyNumberFormat="1" applyFont="1" applyFill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1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wrapText="1"/>
    </xf>
    <xf numFmtId="0" fontId="2" fillId="4" borderId="0" xfId="0" applyFont="1" applyFill="1" applyAlignment="1">
      <alignment wrapText="1"/>
    </xf>
    <xf numFmtId="0" fontId="5" fillId="4" borderId="0" xfId="0" applyFont="1" applyFill="1" applyAlignment="1">
      <alignment horizontal="center" wrapText="1"/>
    </xf>
    <xf numFmtId="0" fontId="5" fillId="4" borderId="0" xfId="0" applyFont="1" applyFill="1" applyAlignment="1">
      <alignment horizontal="left" wrapText="1"/>
    </xf>
    <xf numFmtId="0" fontId="5" fillId="4" borderId="0" xfId="0" applyFont="1" applyFill="1" applyAlignment="1">
      <alignment wrapText="1"/>
    </xf>
    <xf numFmtId="49" fontId="3" fillId="5" borderId="0" xfId="0" applyNumberFormat="1" applyFont="1" applyFill="1" applyAlignment="1">
      <alignment vertical="center" wrapText="1"/>
    </xf>
    <xf numFmtId="0" fontId="3" fillId="5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vertical="center" wrapText="1"/>
    </xf>
    <xf numFmtId="49" fontId="2" fillId="6" borderId="0" xfId="0" applyNumberFormat="1" applyFont="1" applyFill="1" applyAlignment="1">
      <alignment vertical="center" wrapText="1"/>
    </xf>
    <xf numFmtId="0" fontId="2" fillId="6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vertical="center" wrapText="1"/>
    </xf>
    <xf numFmtId="0" fontId="4" fillId="2" borderId="0" xfId="0" applyFont="1" applyFill="1"/>
    <xf numFmtId="0" fontId="2" fillId="2" borderId="0" xfId="0" applyFont="1" applyFill="1"/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wrapText="1"/>
    </xf>
    <xf numFmtId="0" fontId="6" fillId="2" borderId="0" xfId="0" applyFont="1" applyFill="1" applyAlignment="1">
      <alignment wrapText="1"/>
    </xf>
  </cellXfs>
  <cellStyles count="1">
    <cellStyle name="Normal" xfId="0" builtinId="0"/>
  </cellStyles>
  <dxfs count="9">
    <dxf>
      <fill>
        <patternFill>
          <bgColor rgb="FFFFF1D6"/>
        </patternFill>
      </fill>
    </dxf>
    <dxf>
      <fill>
        <patternFill>
          <bgColor rgb="FFE8F1EB"/>
        </patternFill>
      </fill>
    </dxf>
    <dxf>
      <fill>
        <patternFill>
          <bgColor rgb="FFEAF0F8"/>
        </patternFill>
      </fill>
    </dxf>
    <dxf>
      <fill>
        <patternFill>
          <bgColor rgb="FFFFFFFF"/>
        </patternFill>
      </fill>
    </dxf>
    <dxf>
      <fill>
        <patternFill>
          <bgColor rgb="FFFFF1D6"/>
        </patternFill>
      </fill>
    </dxf>
    <dxf>
      <fill>
        <patternFill>
          <bgColor rgb="FFE8F1EB"/>
        </patternFill>
      </fill>
    </dxf>
    <dxf>
      <fill>
        <patternFill>
          <bgColor rgb="FFEAF0F8"/>
        </patternFill>
      </fill>
    </dxf>
    <dxf>
      <fill>
        <patternFill>
          <bgColor rgb="FFFFFFFF"/>
        </patternFill>
      </fill>
    </dxf>
    <dxf>
      <font>
        <color rgb="FF794B00"/>
      </font>
      <fill>
        <patternFill>
          <bgColor rgb="FFFFF1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ProcurementWbs" displayName="ProcurementWbs" ref="A8:H42" totalsRowShown="0">
  <tableColumns count="8">
    <tableColumn id="1" xr3:uid="{00000000-0010-0000-0000-000001000000}" name="ID WBS"/>
    <tableColumn id="2" xr3:uid="{00000000-0010-0000-0000-000002000000}" name="Level"/>
    <tableColumn id="3" xr3:uid="{00000000-0010-0000-0000-000003000000}" name="Modul / fitur"/>
    <tableColumn id="4" xr3:uid="{00000000-0010-0000-0000-000004000000}" name="Hasil dan kriteria selesai"/>
    <tableColumn id="5" xr3:uid="{00000000-0010-0000-0000-000005000000}" name="Pelaksana"/>
    <tableColumn id="6" xr3:uid="{00000000-0010-0000-0000-000006000000}" name="Prioritas"/>
    <tableColumn id="7" xr3:uid="{00000000-0010-0000-0000-000007000000}" name="Dependensi WBS"/>
    <tableColumn id="8" xr3:uid="{00000000-0010-0000-0000-000008000000}" name="Status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WbsTraceability" displayName="WbsTraceability" ref="A6:F33" totalsRowShown="0">
  <tableColumns count="6">
    <tableColumn id="1" xr3:uid="{00000000-0010-0000-0100-000001000000}" name="ID WBS"/>
    <tableColumn id="2" xr3:uid="{00000000-0010-0000-0100-000002000000}" name="ID kebutuhan"/>
    <tableColumn id="3" xr3:uid="{00000000-0010-0000-0100-000003000000}" name="Aktivitas / gateway BPMN"/>
    <tableColumn id="4" xr3:uid="{00000000-0010-0000-0100-000004000000}" name="Skenario uji / bukti"/>
    <tableColumn id="5" xr3:uid="{00000000-0010-0000-0100-000005000000}" name="Kategori kebutuhan"/>
    <tableColumn id="6" xr3:uid="{00000000-0010-0000-0100-000006000000}" name="Statu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04A5B"/>
  </sheetPr>
  <dimension ref="A1:H42"/>
  <sheetViews>
    <sheetView showGridLines="0" workbookViewId="0">
      <pane xSplit="3" ySplit="8" topLeftCell="D19" activePane="bottomRight" state="frozen"/>
      <selection pane="topRight"/>
      <selection pane="bottomLeft"/>
      <selection pane="bottomRight" activeCell="D9" sqref="D9"/>
    </sheetView>
  </sheetViews>
  <sheetFormatPr defaultRowHeight="13.8"/>
  <cols>
    <col min="1" max="1" width="9.3984375" customWidth="1"/>
    <col min="2" max="2" width="6.5" customWidth="1"/>
    <col min="3" max="3" width="31.8984375" customWidth="1"/>
    <col min="4" max="4" width="65.59765625" customWidth="1"/>
    <col min="5" max="5" width="12.5" customWidth="1"/>
    <col min="6" max="6" width="11.8984375" customWidth="1"/>
    <col min="7" max="7" width="20.59765625" customWidth="1"/>
    <col min="8" max="8" width="16.8984375" customWidth="1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 ht="31.95" customHeight="1">
      <c r="A2" s="17" t="s">
        <v>0</v>
      </c>
      <c r="B2" s="18"/>
      <c r="C2" s="18"/>
      <c r="D2" s="18"/>
      <c r="E2" s="19" t="s">
        <v>1</v>
      </c>
      <c r="F2" s="18"/>
      <c r="G2" s="18"/>
      <c r="H2" s="18"/>
    </row>
    <row r="3" spans="1:8" ht="24" customHeight="1">
      <c r="A3" s="20" t="s">
        <v>2</v>
      </c>
      <c r="B3" s="20"/>
      <c r="C3" s="20"/>
      <c r="D3" s="20"/>
      <c r="E3" s="20"/>
      <c r="F3" s="20"/>
      <c r="G3" s="20"/>
      <c r="H3" s="20"/>
    </row>
    <row r="4" spans="1:8" ht="28.95" customHeight="1">
      <c r="A4" s="7" t="s">
        <v>3</v>
      </c>
      <c r="B4" s="8">
        <f>COUNTIF(B9:B42,2)</f>
        <v>27</v>
      </c>
      <c r="C4" s="7" t="s">
        <v>4</v>
      </c>
      <c r="D4" s="9">
        <f>COUNTIFS(B9:B42,2,H9:H42,"Terverifikasi")</f>
        <v>2</v>
      </c>
      <c r="E4" s="7" t="s">
        <v>5</v>
      </c>
      <c r="F4" s="8">
        <f>COUNTIFS(B9:B42,2,H9:H42,"Dikerjakan")</f>
        <v>5</v>
      </c>
      <c r="G4" s="7" t="s">
        <v>6</v>
      </c>
      <c r="H4" s="10">
        <f>COUNTIFS(B9:B42,2,H9:H42,"Ditunda")</f>
        <v>1</v>
      </c>
    </row>
    <row r="5" spans="1:8" ht="24" customHeight="1">
      <c r="A5" s="21" t="s">
        <v>7</v>
      </c>
      <c r="B5" s="21"/>
      <c r="C5" s="21"/>
      <c r="D5" s="21"/>
      <c r="E5" s="21"/>
      <c r="F5" s="21"/>
      <c r="G5" s="21"/>
      <c r="H5" s="21"/>
    </row>
    <row r="6" spans="1:8" ht="24" customHeight="1">
      <c r="A6" s="21" t="s">
        <v>8</v>
      </c>
      <c r="B6" s="21"/>
      <c r="C6" s="21"/>
      <c r="D6" s="21"/>
      <c r="E6" s="21"/>
      <c r="F6" s="21"/>
      <c r="G6" s="21"/>
      <c r="H6" s="21"/>
    </row>
    <row r="7" spans="1:8">
      <c r="A7" s="1"/>
      <c r="B7" s="1"/>
      <c r="C7" s="1"/>
      <c r="D7" s="1"/>
      <c r="E7" s="1"/>
      <c r="F7" s="1"/>
      <c r="G7" s="1"/>
      <c r="H7" s="1"/>
    </row>
    <row r="8" spans="1:8" ht="34.049999999999997" customHeight="1">
      <c r="A8" s="5" t="s">
        <v>9</v>
      </c>
      <c r="B8" s="5" t="s">
        <v>10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15</v>
      </c>
      <c r="H8" s="5" t="s">
        <v>16</v>
      </c>
    </row>
    <row r="9" spans="1:8" ht="28.95" customHeight="1">
      <c r="A9" s="11" t="s">
        <v>17</v>
      </c>
      <c r="B9" s="12">
        <v>1</v>
      </c>
      <c r="C9" s="13" t="s">
        <v>18</v>
      </c>
      <c r="D9" s="13"/>
      <c r="E9" s="13"/>
      <c r="F9" s="13"/>
      <c r="G9" s="13"/>
      <c r="H9" s="13"/>
    </row>
    <row r="10" spans="1:8" ht="66" customHeight="1">
      <c r="A10" s="2" t="s">
        <v>19</v>
      </c>
      <c r="B10" s="3">
        <v>2</v>
      </c>
      <c r="C10" s="4" t="s">
        <v>20</v>
      </c>
      <c r="D10" s="4" t="s">
        <v>21</v>
      </c>
      <c r="E10" s="4" t="s">
        <v>22</v>
      </c>
      <c r="F10" s="4" t="s">
        <v>23</v>
      </c>
      <c r="G10" s="4" t="s">
        <v>24</v>
      </c>
      <c r="H10" s="4" t="s">
        <v>4</v>
      </c>
    </row>
    <row r="11" spans="1:8" ht="66" customHeight="1">
      <c r="A11" s="14" t="s">
        <v>25</v>
      </c>
      <c r="B11" s="15">
        <v>2</v>
      </c>
      <c r="C11" s="16" t="s">
        <v>26</v>
      </c>
      <c r="D11" s="16" t="s">
        <v>27</v>
      </c>
      <c r="E11" s="16" t="s">
        <v>22</v>
      </c>
      <c r="F11" s="16" t="s">
        <v>23</v>
      </c>
      <c r="G11" s="16" t="s">
        <v>28</v>
      </c>
      <c r="H11" s="16" t="s">
        <v>4</v>
      </c>
    </row>
    <row r="12" spans="1:8" ht="66" customHeight="1">
      <c r="A12" s="2" t="s">
        <v>24</v>
      </c>
      <c r="B12" s="3">
        <v>2</v>
      </c>
      <c r="C12" s="4" t="s">
        <v>29</v>
      </c>
      <c r="D12" s="4" t="s">
        <v>30</v>
      </c>
      <c r="E12" s="4" t="s">
        <v>22</v>
      </c>
      <c r="F12" s="4" t="s">
        <v>23</v>
      </c>
      <c r="G12" s="4" t="s">
        <v>31</v>
      </c>
      <c r="H12" s="4" t="s">
        <v>32</v>
      </c>
    </row>
    <row r="13" spans="1:8" ht="66" customHeight="1">
      <c r="A13" s="14" t="s">
        <v>33</v>
      </c>
      <c r="B13" s="15">
        <v>2</v>
      </c>
      <c r="C13" s="16" t="s">
        <v>34</v>
      </c>
      <c r="D13" s="16" t="s">
        <v>35</v>
      </c>
      <c r="E13" s="16" t="s">
        <v>36</v>
      </c>
      <c r="F13" s="16" t="s">
        <v>23</v>
      </c>
      <c r="G13" s="16" t="s">
        <v>24</v>
      </c>
      <c r="H13" s="16" t="s">
        <v>5</v>
      </c>
    </row>
    <row r="14" spans="1:8" ht="66" customHeight="1">
      <c r="A14" s="2" t="s">
        <v>37</v>
      </c>
      <c r="B14" s="3">
        <v>2</v>
      </c>
      <c r="C14" s="4" t="s">
        <v>38</v>
      </c>
      <c r="D14" s="4" t="s">
        <v>39</v>
      </c>
      <c r="E14" s="4" t="s">
        <v>36</v>
      </c>
      <c r="F14" s="4" t="s">
        <v>23</v>
      </c>
      <c r="G14" s="4" t="s">
        <v>40</v>
      </c>
      <c r="H14" s="4" t="s">
        <v>5</v>
      </c>
    </row>
    <row r="15" spans="1:8" ht="66" customHeight="1">
      <c r="A15" s="14" t="s">
        <v>41</v>
      </c>
      <c r="B15" s="15">
        <v>2</v>
      </c>
      <c r="C15" s="16" t="s">
        <v>42</v>
      </c>
      <c r="D15" s="16" t="s">
        <v>43</v>
      </c>
      <c r="E15" s="16" t="s">
        <v>36</v>
      </c>
      <c r="F15" s="16" t="s">
        <v>23</v>
      </c>
      <c r="G15" s="16" t="s">
        <v>40</v>
      </c>
      <c r="H15" s="16" t="s">
        <v>44</v>
      </c>
    </row>
    <row r="16" spans="1:8" ht="28.95" customHeight="1">
      <c r="A16" s="11" t="s">
        <v>45</v>
      </c>
      <c r="B16" s="12">
        <v>1</v>
      </c>
      <c r="C16" s="13" t="s">
        <v>46</v>
      </c>
      <c r="D16" s="13"/>
      <c r="E16" s="13"/>
      <c r="F16" s="13"/>
      <c r="G16" s="13"/>
      <c r="H16" s="13"/>
    </row>
    <row r="17" spans="1:8" ht="66" customHeight="1">
      <c r="A17" s="14" t="s">
        <v>47</v>
      </c>
      <c r="B17" s="15">
        <v>2</v>
      </c>
      <c r="C17" s="16" t="s">
        <v>48</v>
      </c>
      <c r="D17" s="16" t="s">
        <v>49</v>
      </c>
      <c r="E17" s="16" t="s">
        <v>36</v>
      </c>
      <c r="F17" s="16" t="s">
        <v>23</v>
      </c>
      <c r="G17" s="16" t="s">
        <v>50</v>
      </c>
      <c r="H17" s="16" t="s">
        <v>5</v>
      </c>
    </row>
    <row r="18" spans="1:8" ht="66" customHeight="1">
      <c r="A18" s="2" t="s">
        <v>51</v>
      </c>
      <c r="B18" s="3">
        <v>2</v>
      </c>
      <c r="C18" s="4" t="s">
        <v>52</v>
      </c>
      <c r="D18" s="4" t="s">
        <v>53</v>
      </c>
      <c r="E18" s="4" t="s">
        <v>36</v>
      </c>
      <c r="F18" s="4" t="s">
        <v>23</v>
      </c>
      <c r="G18" s="4" t="s">
        <v>47</v>
      </c>
      <c r="H18" s="4" t="s">
        <v>44</v>
      </c>
    </row>
    <row r="19" spans="1:8" ht="66" customHeight="1">
      <c r="A19" s="14" t="s">
        <v>54</v>
      </c>
      <c r="B19" s="15">
        <v>2</v>
      </c>
      <c r="C19" s="16" t="s">
        <v>55</v>
      </c>
      <c r="D19" s="16" t="s">
        <v>56</v>
      </c>
      <c r="E19" s="16" t="s">
        <v>36</v>
      </c>
      <c r="F19" s="16" t="s">
        <v>23</v>
      </c>
      <c r="G19" s="16" t="s">
        <v>51</v>
      </c>
      <c r="H19" s="16" t="s">
        <v>44</v>
      </c>
    </row>
    <row r="20" spans="1:8" ht="66" customHeight="1">
      <c r="A20" s="2" t="s">
        <v>57</v>
      </c>
      <c r="B20" s="3">
        <v>2</v>
      </c>
      <c r="C20" s="4" t="s">
        <v>58</v>
      </c>
      <c r="D20" s="4" t="s">
        <v>59</v>
      </c>
      <c r="E20" s="4" t="s">
        <v>36</v>
      </c>
      <c r="F20" s="4" t="s">
        <v>23</v>
      </c>
      <c r="G20" s="4" t="s">
        <v>60</v>
      </c>
      <c r="H20" s="4" t="s">
        <v>44</v>
      </c>
    </row>
    <row r="21" spans="1:8" ht="28.95" customHeight="1">
      <c r="A21" s="11" t="s">
        <v>61</v>
      </c>
      <c r="B21" s="12">
        <v>1</v>
      </c>
      <c r="C21" s="13" t="s">
        <v>62</v>
      </c>
      <c r="D21" s="13"/>
      <c r="E21" s="13"/>
      <c r="F21" s="13"/>
      <c r="G21" s="13"/>
      <c r="H21" s="13"/>
    </row>
    <row r="22" spans="1:8" ht="66" customHeight="1">
      <c r="A22" s="2" t="s">
        <v>63</v>
      </c>
      <c r="B22" s="3">
        <v>2</v>
      </c>
      <c r="C22" s="4" t="s">
        <v>64</v>
      </c>
      <c r="D22" s="4" t="s">
        <v>65</v>
      </c>
      <c r="E22" s="4" t="s">
        <v>36</v>
      </c>
      <c r="F22" s="4" t="s">
        <v>23</v>
      </c>
      <c r="G22" s="4" t="s">
        <v>47</v>
      </c>
      <c r="H22" s="4" t="s">
        <v>44</v>
      </c>
    </row>
    <row r="23" spans="1:8" ht="66" customHeight="1">
      <c r="A23" s="14" t="s">
        <v>66</v>
      </c>
      <c r="B23" s="15">
        <v>2</v>
      </c>
      <c r="C23" s="16" t="s">
        <v>67</v>
      </c>
      <c r="D23" s="16" t="s">
        <v>68</v>
      </c>
      <c r="E23" s="16" t="s">
        <v>36</v>
      </c>
      <c r="F23" s="16" t="s">
        <v>23</v>
      </c>
      <c r="G23" s="16" t="s">
        <v>69</v>
      </c>
      <c r="H23" s="16" t="s">
        <v>44</v>
      </c>
    </row>
    <row r="24" spans="1:8" ht="66" customHeight="1">
      <c r="A24" s="2" t="s">
        <v>70</v>
      </c>
      <c r="B24" s="3">
        <v>2</v>
      </c>
      <c r="C24" s="4" t="s">
        <v>71</v>
      </c>
      <c r="D24" s="4" t="s">
        <v>72</v>
      </c>
      <c r="E24" s="4" t="s">
        <v>36</v>
      </c>
      <c r="F24" s="4" t="s">
        <v>23</v>
      </c>
      <c r="G24" s="4" t="s">
        <v>73</v>
      </c>
      <c r="H24" s="4" t="s">
        <v>44</v>
      </c>
    </row>
    <row r="25" spans="1:8" ht="66" customHeight="1">
      <c r="A25" s="14" t="s">
        <v>74</v>
      </c>
      <c r="B25" s="15">
        <v>2</v>
      </c>
      <c r="C25" s="16" t="s">
        <v>75</v>
      </c>
      <c r="D25" s="16" t="s">
        <v>76</v>
      </c>
      <c r="E25" s="16" t="s">
        <v>36</v>
      </c>
      <c r="F25" s="16" t="s">
        <v>23</v>
      </c>
      <c r="G25" s="16" t="s">
        <v>70</v>
      </c>
      <c r="H25" s="16" t="s">
        <v>44</v>
      </c>
    </row>
    <row r="26" spans="1:8" ht="66" customHeight="1">
      <c r="A26" s="2" t="s">
        <v>77</v>
      </c>
      <c r="B26" s="3">
        <v>2</v>
      </c>
      <c r="C26" s="4" t="s">
        <v>78</v>
      </c>
      <c r="D26" s="4" t="s">
        <v>79</v>
      </c>
      <c r="E26" s="4" t="s">
        <v>36</v>
      </c>
      <c r="F26" s="4" t="s">
        <v>23</v>
      </c>
      <c r="G26" s="4" t="s">
        <v>74</v>
      </c>
      <c r="H26" s="4" t="s">
        <v>44</v>
      </c>
    </row>
    <row r="27" spans="1:8" ht="28.95" customHeight="1">
      <c r="A27" s="11" t="s">
        <v>80</v>
      </c>
      <c r="B27" s="12">
        <v>1</v>
      </c>
      <c r="C27" s="13" t="s">
        <v>81</v>
      </c>
      <c r="D27" s="13"/>
      <c r="E27" s="13"/>
      <c r="F27" s="13"/>
      <c r="G27" s="13"/>
      <c r="H27" s="13"/>
    </row>
    <row r="28" spans="1:8" ht="66" customHeight="1">
      <c r="A28" s="2" t="s">
        <v>82</v>
      </c>
      <c r="B28" s="3">
        <v>2</v>
      </c>
      <c r="C28" s="4" t="s">
        <v>83</v>
      </c>
      <c r="D28" s="4" t="s">
        <v>84</v>
      </c>
      <c r="E28" s="4" t="s">
        <v>36</v>
      </c>
      <c r="F28" s="4" t="s">
        <v>23</v>
      </c>
      <c r="G28" s="4" t="s">
        <v>74</v>
      </c>
      <c r="H28" s="4" t="s">
        <v>44</v>
      </c>
    </row>
    <row r="29" spans="1:8" ht="66" customHeight="1">
      <c r="A29" s="14" t="s">
        <v>85</v>
      </c>
      <c r="B29" s="15">
        <v>2</v>
      </c>
      <c r="C29" s="16" t="s">
        <v>86</v>
      </c>
      <c r="D29" s="16" t="s">
        <v>87</v>
      </c>
      <c r="E29" s="16" t="s">
        <v>36</v>
      </c>
      <c r="F29" s="16" t="s">
        <v>23</v>
      </c>
      <c r="G29" s="16" t="s">
        <v>74</v>
      </c>
      <c r="H29" s="16" t="s">
        <v>44</v>
      </c>
    </row>
    <row r="30" spans="1:8" ht="66" customHeight="1">
      <c r="A30" s="2" t="s">
        <v>88</v>
      </c>
      <c r="B30" s="3">
        <v>2</v>
      </c>
      <c r="C30" s="4" t="s">
        <v>89</v>
      </c>
      <c r="D30" s="4" t="s">
        <v>90</v>
      </c>
      <c r="E30" s="4" t="s">
        <v>36</v>
      </c>
      <c r="F30" s="4" t="s">
        <v>23</v>
      </c>
      <c r="G30" s="4" t="s">
        <v>91</v>
      </c>
      <c r="H30" s="4" t="s">
        <v>44</v>
      </c>
    </row>
    <row r="31" spans="1:8" ht="66" customHeight="1">
      <c r="A31" s="14" t="s">
        <v>92</v>
      </c>
      <c r="B31" s="15">
        <v>2</v>
      </c>
      <c r="C31" s="16" t="s">
        <v>93</v>
      </c>
      <c r="D31" s="16" t="s">
        <v>94</v>
      </c>
      <c r="E31" s="16" t="s">
        <v>36</v>
      </c>
      <c r="F31" s="16" t="s">
        <v>23</v>
      </c>
      <c r="G31" s="16" t="s">
        <v>95</v>
      </c>
      <c r="H31" s="16" t="s">
        <v>44</v>
      </c>
    </row>
    <row r="32" spans="1:8" ht="28.95" customHeight="1">
      <c r="A32" s="11" t="s">
        <v>96</v>
      </c>
      <c r="B32" s="12">
        <v>1</v>
      </c>
      <c r="C32" s="13" t="s">
        <v>97</v>
      </c>
      <c r="D32" s="13"/>
      <c r="E32" s="13"/>
      <c r="F32" s="13"/>
      <c r="G32" s="13"/>
      <c r="H32" s="13"/>
    </row>
    <row r="33" spans="1:8" ht="66" customHeight="1">
      <c r="A33" s="14" t="s">
        <v>98</v>
      </c>
      <c r="B33" s="15">
        <v>2</v>
      </c>
      <c r="C33" s="16" t="s">
        <v>99</v>
      </c>
      <c r="D33" s="16" t="s">
        <v>100</v>
      </c>
      <c r="E33" s="16" t="s">
        <v>36</v>
      </c>
      <c r="F33" s="16" t="s">
        <v>23</v>
      </c>
      <c r="G33" s="16" t="s">
        <v>101</v>
      </c>
      <c r="H33" s="16" t="s">
        <v>44</v>
      </c>
    </row>
    <row r="34" spans="1:8" ht="66" customHeight="1">
      <c r="A34" s="2" t="s">
        <v>102</v>
      </c>
      <c r="B34" s="3">
        <v>2</v>
      </c>
      <c r="C34" s="4" t="s">
        <v>103</v>
      </c>
      <c r="D34" s="4" t="s">
        <v>104</v>
      </c>
      <c r="E34" s="4" t="s">
        <v>36</v>
      </c>
      <c r="F34" s="4" t="s">
        <v>23</v>
      </c>
      <c r="G34" s="4" t="s">
        <v>105</v>
      </c>
      <c r="H34" s="4" t="s">
        <v>44</v>
      </c>
    </row>
    <row r="35" spans="1:8" ht="66" customHeight="1">
      <c r="A35" s="14" t="s">
        <v>106</v>
      </c>
      <c r="B35" s="15">
        <v>2</v>
      </c>
      <c r="C35" s="16" t="s">
        <v>107</v>
      </c>
      <c r="D35" s="16" t="s">
        <v>108</v>
      </c>
      <c r="E35" s="16" t="s">
        <v>36</v>
      </c>
      <c r="F35" s="16" t="s">
        <v>23</v>
      </c>
      <c r="G35" s="16" t="s">
        <v>102</v>
      </c>
      <c r="H35" s="16" t="s">
        <v>44</v>
      </c>
    </row>
    <row r="36" spans="1:8" ht="28.95" customHeight="1">
      <c r="A36" s="11" t="s">
        <v>109</v>
      </c>
      <c r="B36" s="12">
        <v>1</v>
      </c>
      <c r="C36" s="13" t="s">
        <v>110</v>
      </c>
      <c r="D36" s="13"/>
      <c r="E36" s="13"/>
      <c r="F36" s="13"/>
      <c r="G36" s="13"/>
      <c r="H36" s="13"/>
    </row>
    <row r="37" spans="1:8" ht="66" customHeight="1">
      <c r="A37" s="14" t="s">
        <v>111</v>
      </c>
      <c r="B37" s="15">
        <v>2</v>
      </c>
      <c r="C37" s="16" t="s">
        <v>112</v>
      </c>
      <c r="D37" s="16" t="s">
        <v>113</v>
      </c>
      <c r="E37" s="16" t="s">
        <v>36</v>
      </c>
      <c r="F37" s="16" t="s">
        <v>23</v>
      </c>
      <c r="G37" s="16" t="s">
        <v>114</v>
      </c>
      <c r="H37" s="16" t="s">
        <v>5</v>
      </c>
    </row>
    <row r="38" spans="1:8" ht="66" customHeight="1">
      <c r="A38" s="2" t="s">
        <v>115</v>
      </c>
      <c r="B38" s="3">
        <v>2</v>
      </c>
      <c r="C38" s="4" t="s">
        <v>116</v>
      </c>
      <c r="D38" s="4" t="s">
        <v>117</v>
      </c>
      <c r="E38" s="4" t="s">
        <v>36</v>
      </c>
      <c r="F38" s="4" t="s">
        <v>23</v>
      </c>
      <c r="G38" s="4" t="s">
        <v>118</v>
      </c>
      <c r="H38" s="4" t="s">
        <v>5</v>
      </c>
    </row>
    <row r="39" spans="1:8" ht="66" customHeight="1">
      <c r="A39" s="14" t="s">
        <v>119</v>
      </c>
      <c r="B39" s="15">
        <v>2</v>
      </c>
      <c r="C39" s="16" t="s">
        <v>120</v>
      </c>
      <c r="D39" s="16" t="s">
        <v>121</v>
      </c>
      <c r="E39" s="16" t="s">
        <v>36</v>
      </c>
      <c r="F39" s="16" t="s">
        <v>23</v>
      </c>
      <c r="G39" s="16" t="s">
        <v>122</v>
      </c>
      <c r="H39" s="16" t="s">
        <v>44</v>
      </c>
    </row>
    <row r="40" spans="1:8" ht="66" customHeight="1">
      <c r="A40" s="2" t="s">
        <v>123</v>
      </c>
      <c r="B40" s="3">
        <v>2</v>
      </c>
      <c r="C40" s="4" t="s">
        <v>124</v>
      </c>
      <c r="D40" s="4" t="s">
        <v>125</v>
      </c>
      <c r="E40" s="4" t="s">
        <v>36</v>
      </c>
      <c r="F40" s="4" t="s">
        <v>23</v>
      </c>
      <c r="G40" s="4" t="s">
        <v>126</v>
      </c>
      <c r="H40" s="4" t="s">
        <v>44</v>
      </c>
    </row>
    <row r="41" spans="1:8" ht="28.95" customHeight="1">
      <c r="A41" s="11" t="s">
        <v>127</v>
      </c>
      <c r="B41" s="12">
        <v>1</v>
      </c>
      <c r="C41" s="13" t="s">
        <v>128</v>
      </c>
      <c r="D41" s="13"/>
      <c r="E41" s="13"/>
      <c r="F41" s="13"/>
      <c r="G41" s="13"/>
      <c r="H41" s="13"/>
    </row>
    <row r="42" spans="1:8" ht="66" customHeight="1">
      <c r="A42" s="2" t="s">
        <v>129</v>
      </c>
      <c r="B42" s="3">
        <v>2</v>
      </c>
      <c r="C42" s="4" t="s">
        <v>130</v>
      </c>
      <c r="D42" s="4" t="s">
        <v>131</v>
      </c>
      <c r="E42" s="4" t="s">
        <v>36</v>
      </c>
      <c r="F42" s="4" t="s">
        <v>132</v>
      </c>
      <c r="G42" s="4" t="s">
        <v>133</v>
      </c>
      <c r="H42" s="4" t="s">
        <v>6</v>
      </c>
    </row>
  </sheetData>
  <mergeCells count="5">
    <mergeCell ref="A2:D2"/>
    <mergeCell ref="E2:H2"/>
    <mergeCell ref="A3:H3"/>
    <mergeCell ref="A5:H5"/>
    <mergeCell ref="A6:H6"/>
  </mergeCells>
  <conditionalFormatting sqref="H9:H42">
    <cfRule type="containsText" dxfId="8" priority="1" operator="containsText" text="Ditunda"/>
    <cfRule type="containsText" dxfId="7" priority="2" operator="containsText" text="Direncanakan"/>
    <cfRule type="containsText" dxfId="6" priority="3" operator="containsText" text="Dikerjakan"/>
    <cfRule type="containsText" dxfId="5" priority="4" operator="containsText" text="Terverifikasi"/>
    <cfRule type="containsText" dxfId="4" priority="6" operator="containsText" text="Ditunda"/>
  </conditionalFormatting>
  <dataValidations count="1">
    <dataValidation type="list" sqref="H42 H37:H40 H33:H35 H28:H31 H22:H26 H17:H20 H10:H15" xr:uid="{00000000-0002-0000-0000-000000000000}">
      <formula1>"Direncanakan,Dikerjakan,Terverifikasi,Disetujui,Ditunda"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04A5B"/>
  </sheetPr>
  <dimension ref="A1:F33"/>
  <sheetViews>
    <sheetView showGridLines="0" tabSelected="1" workbookViewId="0">
      <pane xSplit="1" ySplit="6" topLeftCell="B7" activePane="bottomRight" state="frozen"/>
      <selection pane="topRight"/>
      <selection pane="bottomLeft"/>
      <selection pane="bottomRight" activeCell="B7" sqref="B7"/>
    </sheetView>
  </sheetViews>
  <sheetFormatPr defaultRowHeight="13.8"/>
  <cols>
    <col min="1" max="1" width="10" customWidth="1"/>
    <col min="2" max="2" width="28.69921875" customWidth="1"/>
    <col min="3" max="3" width="35.59765625" customWidth="1"/>
    <col min="4" max="4" width="41.19921875" customWidth="1"/>
    <col min="5" max="5" width="23.09765625" customWidth="1"/>
    <col min="6" max="6" width="16.8984375" customWidth="1"/>
  </cols>
  <sheetData>
    <row r="1" spans="1:6">
      <c r="A1" s="1"/>
      <c r="B1" s="1"/>
      <c r="C1" s="1"/>
      <c r="D1" s="1"/>
      <c r="E1" s="1"/>
      <c r="F1" s="1"/>
    </row>
    <row r="2" spans="1:6" ht="31.95" customHeight="1">
      <c r="A2" s="17" t="s">
        <v>134</v>
      </c>
      <c r="B2" s="18"/>
      <c r="C2" s="18"/>
      <c r="D2" s="18"/>
      <c r="E2" s="18"/>
      <c r="F2" s="18"/>
    </row>
    <row r="3" spans="1:6" ht="24" customHeight="1">
      <c r="A3" s="20" t="s">
        <v>135</v>
      </c>
      <c r="B3" s="20"/>
      <c r="C3" s="20"/>
      <c r="D3" s="20"/>
      <c r="E3" s="20"/>
      <c r="F3" s="20"/>
    </row>
    <row r="4" spans="1:6" ht="24" customHeight="1">
      <c r="A4" s="20" t="s">
        <v>136</v>
      </c>
      <c r="B4" s="20"/>
      <c r="C4" s="20"/>
      <c r="D4" s="20"/>
      <c r="E4" s="20"/>
      <c r="F4" s="20"/>
    </row>
    <row r="5" spans="1:6" ht="24" customHeight="1">
      <c r="A5" s="6"/>
      <c r="B5" s="6"/>
      <c r="C5" s="6"/>
      <c r="D5" s="6"/>
      <c r="E5" s="6"/>
      <c r="F5" s="6"/>
    </row>
    <row r="6" spans="1:6" ht="34.049999999999997" customHeight="1">
      <c r="A6" s="5" t="s">
        <v>9</v>
      </c>
      <c r="B6" s="5" t="s">
        <v>137</v>
      </c>
      <c r="C6" s="5" t="s">
        <v>138</v>
      </c>
      <c r="D6" s="5" t="s">
        <v>139</v>
      </c>
      <c r="E6" s="5" t="s">
        <v>140</v>
      </c>
      <c r="F6" s="5" t="s">
        <v>16</v>
      </c>
    </row>
    <row r="7" spans="1:6" ht="61.95" customHeight="1">
      <c r="A7" s="2" t="s">
        <v>19</v>
      </c>
      <c r="B7" s="4" t="s">
        <v>141</v>
      </c>
      <c r="C7" s="4" t="s">
        <v>142</v>
      </c>
      <c r="D7" s="4" t="s">
        <v>143</v>
      </c>
      <c r="E7" s="4" t="s">
        <v>144</v>
      </c>
      <c r="F7" s="4" t="str">
        <f>WBS!H10</f>
        <v>Terverifikasi</v>
      </c>
    </row>
    <row r="8" spans="1:6" ht="61.95" customHeight="1">
      <c r="A8" s="14" t="s">
        <v>25</v>
      </c>
      <c r="B8" s="16" t="s">
        <v>145</v>
      </c>
      <c r="C8" s="16" t="s">
        <v>146</v>
      </c>
      <c r="D8" s="16" t="s">
        <v>147</v>
      </c>
      <c r="E8" s="16" t="s">
        <v>144</v>
      </c>
      <c r="F8" s="16" t="str">
        <f>WBS!H11</f>
        <v>Terverifikasi</v>
      </c>
    </row>
    <row r="9" spans="1:6" ht="61.95" customHeight="1">
      <c r="A9" s="2" t="s">
        <v>24</v>
      </c>
      <c r="B9" s="4" t="s">
        <v>148</v>
      </c>
      <c r="C9" s="4" t="s">
        <v>149</v>
      </c>
      <c r="D9" s="4" t="s">
        <v>150</v>
      </c>
      <c r="E9" s="4" t="s">
        <v>151</v>
      </c>
      <c r="F9" s="4" t="str">
        <f>WBS!H12</f>
        <v>Disetujui</v>
      </c>
    </row>
    <row r="10" spans="1:6" ht="61.95" customHeight="1">
      <c r="A10" s="14" t="s">
        <v>33</v>
      </c>
      <c r="B10" s="16" t="s">
        <v>152</v>
      </c>
      <c r="C10" s="16" t="s">
        <v>153</v>
      </c>
      <c r="D10" s="16" t="s">
        <v>154</v>
      </c>
      <c r="E10" s="16" t="s">
        <v>155</v>
      </c>
      <c r="F10" s="16" t="str">
        <f>WBS!H13</f>
        <v>Dikerjakan</v>
      </c>
    </row>
    <row r="11" spans="1:6" ht="61.95" customHeight="1">
      <c r="A11" s="2" t="s">
        <v>37</v>
      </c>
      <c r="B11" s="4" t="s">
        <v>156</v>
      </c>
      <c r="C11" s="4" t="s">
        <v>157</v>
      </c>
      <c r="D11" s="4" t="s">
        <v>158</v>
      </c>
      <c r="E11" s="4" t="s">
        <v>155</v>
      </c>
      <c r="F11" s="4" t="str">
        <f>WBS!H14</f>
        <v>Dikerjakan</v>
      </c>
    </row>
    <row r="12" spans="1:6" ht="61.95" customHeight="1">
      <c r="A12" s="14" t="s">
        <v>41</v>
      </c>
      <c r="B12" s="16" t="s">
        <v>159</v>
      </c>
      <c r="C12" s="16" t="s">
        <v>160</v>
      </c>
      <c r="D12" s="16" t="s">
        <v>161</v>
      </c>
      <c r="E12" s="16" t="s">
        <v>151</v>
      </c>
      <c r="F12" s="16" t="str">
        <f>WBS!H15</f>
        <v>Direncanakan</v>
      </c>
    </row>
    <row r="13" spans="1:6" ht="61.95" customHeight="1">
      <c r="A13" s="2" t="s">
        <v>47</v>
      </c>
      <c r="B13" s="4" t="s">
        <v>162</v>
      </c>
      <c r="C13" s="4" t="s">
        <v>153</v>
      </c>
      <c r="D13" s="4" t="s">
        <v>163</v>
      </c>
      <c r="E13" s="4" t="s">
        <v>151</v>
      </c>
      <c r="F13" s="4" t="str">
        <f>WBS!H17</f>
        <v>Dikerjakan</v>
      </c>
    </row>
    <row r="14" spans="1:6" ht="61.95" customHeight="1">
      <c r="A14" s="14" t="s">
        <v>51</v>
      </c>
      <c r="B14" s="16" t="s">
        <v>164</v>
      </c>
      <c r="C14" s="16" t="s">
        <v>165</v>
      </c>
      <c r="D14" s="16" t="s">
        <v>166</v>
      </c>
      <c r="E14" s="16" t="s">
        <v>151</v>
      </c>
      <c r="F14" s="16" t="str">
        <f>WBS!H18</f>
        <v>Direncanakan</v>
      </c>
    </row>
    <row r="15" spans="1:6" ht="61.95" customHeight="1">
      <c r="A15" s="2" t="s">
        <v>54</v>
      </c>
      <c r="B15" s="4" t="s">
        <v>167</v>
      </c>
      <c r="C15" s="4" t="s">
        <v>168</v>
      </c>
      <c r="D15" s="4" t="s">
        <v>169</v>
      </c>
      <c r="E15" s="4" t="s">
        <v>151</v>
      </c>
      <c r="F15" s="4" t="str">
        <f>WBS!H19</f>
        <v>Direncanakan</v>
      </c>
    </row>
    <row r="16" spans="1:6" ht="61.95" customHeight="1">
      <c r="A16" s="14" t="s">
        <v>57</v>
      </c>
      <c r="B16" s="16" t="s">
        <v>170</v>
      </c>
      <c r="C16" s="16" t="s">
        <v>171</v>
      </c>
      <c r="D16" s="16" t="s">
        <v>172</v>
      </c>
      <c r="E16" s="16" t="s">
        <v>151</v>
      </c>
      <c r="F16" s="16" t="str">
        <f>WBS!H20</f>
        <v>Direncanakan</v>
      </c>
    </row>
    <row r="17" spans="1:6" ht="61.95" customHeight="1">
      <c r="A17" s="2" t="s">
        <v>63</v>
      </c>
      <c r="B17" s="4" t="s">
        <v>173</v>
      </c>
      <c r="C17" s="4" t="s">
        <v>174</v>
      </c>
      <c r="D17" s="4" t="s">
        <v>175</v>
      </c>
      <c r="E17" s="4" t="s">
        <v>151</v>
      </c>
      <c r="F17" s="4" t="str">
        <f>WBS!H22</f>
        <v>Direncanakan</v>
      </c>
    </row>
    <row r="18" spans="1:6" ht="61.95" customHeight="1">
      <c r="A18" s="14" t="s">
        <v>66</v>
      </c>
      <c r="B18" s="16" t="s">
        <v>176</v>
      </c>
      <c r="C18" s="16" t="s">
        <v>177</v>
      </c>
      <c r="D18" s="16" t="s">
        <v>178</v>
      </c>
      <c r="E18" s="16" t="s">
        <v>151</v>
      </c>
      <c r="F18" s="16" t="str">
        <f>WBS!H23</f>
        <v>Direncanakan</v>
      </c>
    </row>
    <row r="19" spans="1:6" ht="61.95" customHeight="1">
      <c r="A19" s="2" t="s">
        <v>70</v>
      </c>
      <c r="B19" s="4" t="s">
        <v>170</v>
      </c>
      <c r="C19" s="4" t="s">
        <v>179</v>
      </c>
      <c r="D19" s="4" t="s">
        <v>180</v>
      </c>
      <c r="E19" s="4" t="s">
        <v>151</v>
      </c>
      <c r="F19" s="4" t="str">
        <f>WBS!H24</f>
        <v>Direncanakan</v>
      </c>
    </row>
    <row r="20" spans="1:6" ht="61.95" customHeight="1">
      <c r="A20" s="14" t="s">
        <v>74</v>
      </c>
      <c r="B20" s="16" t="s">
        <v>181</v>
      </c>
      <c r="C20" s="16" t="s">
        <v>182</v>
      </c>
      <c r="D20" s="16" t="s">
        <v>183</v>
      </c>
      <c r="E20" s="16" t="s">
        <v>151</v>
      </c>
      <c r="F20" s="16" t="str">
        <f>WBS!H25</f>
        <v>Direncanakan</v>
      </c>
    </row>
    <row r="21" spans="1:6" ht="61.95" customHeight="1">
      <c r="A21" s="2" t="s">
        <v>77</v>
      </c>
      <c r="B21" s="4" t="s">
        <v>181</v>
      </c>
      <c r="C21" s="4" t="s">
        <v>184</v>
      </c>
      <c r="D21" s="4" t="s">
        <v>183</v>
      </c>
      <c r="E21" s="4" t="s">
        <v>151</v>
      </c>
      <c r="F21" s="4" t="str">
        <f>WBS!H26</f>
        <v>Direncanakan</v>
      </c>
    </row>
    <row r="22" spans="1:6" ht="61.95" customHeight="1">
      <c r="A22" s="14" t="s">
        <v>82</v>
      </c>
      <c r="B22" s="16" t="s">
        <v>185</v>
      </c>
      <c r="C22" s="16" t="s">
        <v>186</v>
      </c>
      <c r="D22" s="16" t="s">
        <v>187</v>
      </c>
      <c r="E22" s="16" t="s">
        <v>151</v>
      </c>
      <c r="F22" s="16" t="str">
        <f>WBS!H28</f>
        <v>Direncanakan</v>
      </c>
    </row>
    <row r="23" spans="1:6" ht="61.95" customHeight="1">
      <c r="A23" s="2" t="s">
        <v>85</v>
      </c>
      <c r="B23" s="4" t="s">
        <v>188</v>
      </c>
      <c r="C23" s="4" t="s">
        <v>189</v>
      </c>
      <c r="D23" s="4" t="s">
        <v>190</v>
      </c>
      <c r="E23" s="4" t="s">
        <v>151</v>
      </c>
      <c r="F23" s="4" t="str">
        <f>WBS!H29</f>
        <v>Direncanakan</v>
      </c>
    </row>
    <row r="24" spans="1:6" ht="61.95" customHeight="1">
      <c r="A24" s="14" t="s">
        <v>88</v>
      </c>
      <c r="B24" s="16" t="s">
        <v>191</v>
      </c>
      <c r="C24" s="16" t="s">
        <v>192</v>
      </c>
      <c r="D24" s="16" t="s">
        <v>193</v>
      </c>
      <c r="E24" s="16" t="s">
        <v>151</v>
      </c>
      <c r="F24" s="16" t="str">
        <f>WBS!H30</f>
        <v>Direncanakan</v>
      </c>
    </row>
    <row r="25" spans="1:6" ht="61.95" customHeight="1">
      <c r="A25" s="2" t="s">
        <v>92</v>
      </c>
      <c r="B25" s="4" t="s">
        <v>194</v>
      </c>
      <c r="C25" s="4" t="s">
        <v>195</v>
      </c>
      <c r="D25" s="4" t="s">
        <v>196</v>
      </c>
      <c r="E25" s="4" t="s">
        <v>151</v>
      </c>
      <c r="F25" s="4" t="str">
        <f>WBS!H31</f>
        <v>Direncanakan</v>
      </c>
    </row>
    <row r="26" spans="1:6" ht="61.95" customHeight="1">
      <c r="A26" s="14" t="s">
        <v>98</v>
      </c>
      <c r="B26" s="16" t="s">
        <v>197</v>
      </c>
      <c r="C26" s="16" t="s">
        <v>198</v>
      </c>
      <c r="D26" s="16" t="s">
        <v>199</v>
      </c>
      <c r="E26" s="16" t="s">
        <v>151</v>
      </c>
      <c r="F26" s="16" t="str">
        <f>WBS!H33</f>
        <v>Direncanakan</v>
      </c>
    </row>
    <row r="27" spans="1:6" ht="61.95" customHeight="1">
      <c r="A27" s="2" t="s">
        <v>102</v>
      </c>
      <c r="B27" s="4" t="s">
        <v>159</v>
      </c>
      <c r="C27" s="4" t="s">
        <v>160</v>
      </c>
      <c r="D27" s="4" t="s">
        <v>161</v>
      </c>
      <c r="E27" s="4" t="s">
        <v>151</v>
      </c>
      <c r="F27" s="4" t="str">
        <f>WBS!H34</f>
        <v>Direncanakan</v>
      </c>
    </row>
    <row r="28" spans="1:6" ht="61.95" customHeight="1">
      <c r="A28" s="14" t="s">
        <v>106</v>
      </c>
      <c r="B28" s="16" t="s">
        <v>159</v>
      </c>
      <c r="C28" s="16" t="s">
        <v>160</v>
      </c>
      <c r="D28" s="16" t="s">
        <v>161</v>
      </c>
      <c r="E28" s="16" t="s">
        <v>151</v>
      </c>
      <c r="F28" s="16" t="str">
        <f>WBS!H35</f>
        <v>Direncanakan</v>
      </c>
    </row>
    <row r="29" spans="1:6" ht="61.95" customHeight="1">
      <c r="A29" s="2" t="s">
        <v>111</v>
      </c>
      <c r="B29" s="4" t="s">
        <v>200</v>
      </c>
      <c r="C29" s="4" t="s">
        <v>149</v>
      </c>
      <c r="D29" s="4" t="s">
        <v>201</v>
      </c>
      <c r="E29" s="4" t="s">
        <v>155</v>
      </c>
      <c r="F29" s="4" t="str">
        <f>WBS!H37</f>
        <v>Dikerjakan</v>
      </c>
    </row>
    <row r="30" spans="1:6" ht="61.95" customHeight="1">
      <c r="A30" s="14" t="s">
        <v>115</v>
      </c>
      <c r="B30" s="16" t="s">
        <v>202</v>
      </c>
      <c r="C30" s="16" t="s">
        <v>149</v>
      </c>
      <c r="D30" s="16" t="s">
        <v>203</v>
      </c>
      <c r="E30" s="16" t="s">
        <v>151</v>
      </c>
      <c r="F30" s="16" t="str">
        <f>WBS!H38</f>
        <v>Dikerjakan</v>
      </c>
    </row>
    <row r="31" spans="1:6" ht="61.95" customHeight="1">
      <c r="A31" s="2" t="s">
        <v>119</v>
      </c>
      <c r="B31" s="4" t="s">
        <v>204</v>
      </c>
      <c r="C31" s="4" t="s">
        <v>205</v>
      </c>
      <c r="D31" s="4" t="s">
        <v>206</v>
      </c>
      <c r="E31" s="4" t="s">
        <v>151</v>
      </c>
      <c r="F31" s="4" t="str">
        <f>WBS!H39</f>
        <v>Direncanakan</v>
      </c>
    </row>
    <row r="32" spans="1:6" ht="61.95" customHeight="1">
      <c r="A32" s="14" t="s">
        <v>123</v>
      </c>
      <c r="B32" s="16" t="s">
        <v>207</v>
      </c>
      <c r="C32" s="16" t="s">
        <v>208</v>
      </c>
      <c r="D32" s="16" t="s">
        <v>209</v>
      </c>
      <c r="E32" s="16" t="s">
        <v>210</v>
      </c>
      <c r="F32" s="16" t="str">
        <f>WBS!H40</f>
        <v>Direncanakan</v>
      </c>
    </row>
    <row r="33" spans="1:6" ht="61.95" customHeight="1">
      <c r="A33" s="2" t="s">
        <v>129</v>
      </c>
      <c r="B33" s="4" t="s">
        <v>211</v>
      </c>
      <c r="C33" s="4" t="s">
        <v>212</v>
      </c>
      <c r="D33" s="4" t="s">
        <v>213</v>
      </c>
      <c r="E33" s="4" t="s">
        <v>214</v>
      </c>
      <c r="F33" s="4" t="str">
        <f>WBS!H42</f>
        <v>Ditunda</v>
      </c>
    </row>
  </sheetData>
  <mergeCells count="3">
    <mergeCell ref="A2:F2"/>
    <mergeCell ref="A3:F3"/>
    <mergeCell ref="A4:F4"/>
  </mergeCells>
  <conditionalFormatting sqref="F7:F33">
    <cfRule type="containsText" dxfId="3" priority="1" operator="containsText" text="Direncanakan"/>
    <cfRule type="containsText" dxfId="2" priority="2" operator="containsText" text="Dikerjakan"/>
    <cfRule type="containsText" dxfId="1" priority="3" operator="containsText" text="Terverifikasi"/>
    <cfRule type="containsText" dxfId="0" priority="5" operator="containsText" text="Ditunda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WBS</vt:lpstr>
      <vt:lpstr>Tracking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Rama Atha</cp:lastModifiedBy>
  <dcterms:modified xsi:type="dcterms:W3CDTF">2026-10-22T08:10:51Z</dcterms:modified>
</cp:coreProperties>
</file>