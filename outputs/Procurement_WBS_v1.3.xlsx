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ab4bd9e17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c384e69659694d19"/>
    <x:sheet xmlns:r="http://schemas.openxmlformats.org/officeDocument/2006/relationships" name="Tracking" sheetId="2" r:id="R690c87fb39664ce5"/>
  </x:sheets>
</x:workbook>
</file>

<file path=xl/sharedStrings.xml><?xml version="1.0" encoding="utf-8"?>
<x:sst xmlns:x="http://schemas.openxmlformats.org/spreadsheetml/2006/main">
  <x:si>
    <x:t xml:space="preserve">WBS Procurement</x:t>
  </x:si>
  <x:si>
    <x:t xml:space="preserve">Paket</x:t>
  </x:si>
  <x:si>
    <x:t xml:space="preserve">Terverifikasi</x:t>
  </x:si>
  <x:si>
    <x:t xml:space="preserve">Dikerjakan</x:t>
  </x:si>
  <x:si>
    <x:t xml:space="preserve">ID WBS</x:t>
  </x:si>
  <x:si>
    <x:t xml:space="preserve">Level</x:t>
  </x:si>
  <x:si>
    <x:t xml:space="preserve">Modul / fitur</x:t>
  </x:si>
  <x:si>
    <x:t xml:space="preserve">Hasil dan kriteria selesai</x:t>
  </x:si>
  <x:si>
    <x:t xml:space="preserve">Pelaksana</x:t>
  </x:si>
  <x:si>
    <x:t xml:space="preserve">Prioritas</x:t>
  </x:si>
  <x:si>
    <x:t xml:space="preserve">Dependensi WBS</x:t>
  </x:si>
  <x:si>
    <x:t xml:space="preserve">Status</x:t>
  </x:si>
  <x:si>
    <x:t xml:space="preserve">Keterlacakan kebutuhan dan pengujian</x:t>
  </x:si>
  <x:si>
    <x:t xml:space="preserve">FR: kebutuhan fitur  |  BP/GW: aktivitas dan keputusan  |  TC: skenario uji  |  EX/US/OPT: cakupan, penyerahan dan opsi tambahan.</x:t>
  </x:si>
  <x:si>
    <x:t xml:space="preserve">ID kebutuhan</x:t>
  </x:si>
  <x:si>
    <x:t xml:space="preserve">Aktivitas / gateway BPMN</x:t>
  </x:si>
  <x:si>
    <x:t xml:space="preserve">Skenario uji / bukti</x:t>
  </x:si>
  <x:si>
    <x:t xml:space="preserve">Kategori kebutuhan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</x:si>
</x:sst>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243746"/>
      <x:name val="Arial"/>
    </x:font>
    <x:font>
      <x:b/>
      <x:sz val="10"/>
      <x:color rgb="FF243746"/>
      <x:name val="Arial"/>
    </x:font>
    <x:font>
      <x:b/>
      <x:sz val="17"/>
      <x:color rgb="FF172B3A"/>
      <x:name val="Arial"/>
    </x:font>
    <x:font>
      <x:b/>
      <x:sz val="13"/>
      <x:color rgb="FF172B3A"/>
      <x:name val="Arial"/>
    </x:font>
    <x:font>
      <x:sz val="10"/>
      <x:color rgb="FF52657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04A5B"/>
      </x:patternFill>
    </x:fill>
    <x:fill>
      <x:patternFill patternType="solid">
        <x:fgColor rgb="FFEEF2F4"/>
      </x:patternFill>
    </x:fill>
    <x:fill>
      <x:patternFill patternType="solid">
        <x:fgColor rgb="FFE6ECEF"/>
      </x:patternFill>
    </x:fill>
    <x:fill>
      <x:patternFill patternType="solid">
        <x:fgColor rgb="FFF6F8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2" fillId="2" borderId="0" xfId="0" applyFont="1" applyFill="1"/>
    <x:xf numFmtId="49" fontId="2" fillId="2" borderId="0" xfId="0" applyNumberFormat="1" applyFont="1" applyFill="1" applyAlignment="1">
      <x:alignment vertical="center" wrapText="1"/>
    </x:xf>
    <x:xf numFmtId="0" fontId="2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wrapText="1"/>
    </x:xf>
    <x:xf numFmtId="0" fontId="2" fillId="4" borderId="0" xfId="0" applyFont="1" applyFill="1" applyAlignment="1">
      <x:alignment wrapText="1"/>
    </x:xf>
    <x:xf numFmtId="0" fontId="5" fillId="4" borderId="0" xfId="0" applyFont="1" applyFill="1" applyAlignment="1">
      <x:alignment horizontal="center" wrapText="1"/>
    </x:xf>
    <x:xf numFmtId="0" fontId="5" fillId="4" borderId="0" xfId="0" applyFont="1" applyFill="1" applyAlignment="1">
      <x:alignment horizontal="left" wrapText="1"/>
    </x:xf>
    <x:xf numFmtId="0" fontId="5" fillId="4" borderId="0" xfId="0" applyFont="1" applyFill="1" applyAlignment="1">
      <x:alignment wrapText="1"/>
    </x:xf>
    <x:xf numFmtId="49" fontId="3" fillId="5" borderId="0" xfId="0" applyNumberFormat="1" applyFont="1" applyFill="1" applyAlignment="1">
      <x:alignment vertical="center" wrapText="1"/>
    </x:xf>
    <x:xf numFmtId="0" fontId="3" fillId="5" borderId="0" xfId="0" applyFont="1" applyFill="1" applyAlignment="1">
      <x:alignment horizontal="center" vertical="center" wrapText="1"/>
    </x:xf>
    <x:xf numFmtId="0" fontId="3" fillId="5" borderId="0" xfId="0" applyFont="1" applyFill="1" applyAlignment="1">
      <x:alignment vertical="center" wrapText="1"/>
    </x:xf>
    <x:xf numFmtId="49" fontId="2" fillId="6" borderId="0" xfId="0" applyNumberFormat="1" applyFont="1" applyFill="1" applyAlignment="1">
      <x:alignment vertical="center" wrapText="1"/>
    </x:xf>
    <x:xf numFmtId="0" fontId="2" fillId="6" borderId="0" xfId="0" applyFont="1" applyFill="1" applyAlignment="1">
      <x:alignment horizontal="center" vertical="center" wrapText="1"/>
    </x:xf>
    <x:xf numFmtId="0" fontId="2" fillId="6" borderId="0" xfId="0" applyFont="1" applyFill="1" applyAlignment="1">
      <x:alignment vertical="center" wrapText="1"/>
    </x:xf>
    <x:xf numFmtId="0" fontId="4" fillId="2" borderId="0" xfId="0" applyFont="1" applyFill="1"/>
    <x:xf numFmtId="0" fontId="2" fillId="2" borderId="0" xfId="0" applyFont="1" applyFill="1"/>
    <x:xf numFmtId="0" fontId="2" fillId="2" borderId="0" xfId="0" applyFont="1" applyFill="1" applyAlignment="1">
      <x:alignment horizontal="right"/>
    </x:xf>
    <x:xf numFmtId="0" fontId="2" fillId="2" borderId="0" xfId="0" applyFont="1" applyFill="1" applyAlignment="1">
      <x:alignment wrapText="1"/>
    </x:xf>
    <x:xf numFmtId="0" fontId="6" fillId="2" borderId="0" xfId="0" applyFont="1" applyFill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FFF1D6"/>
        </x:patternFill>
      </x:fill>
    </x:dxf>
    <x:dxf>
      <x:fill>
        <x:patternFill>
          <x:bgColor rgb="FFE8F1EB"/>
        </x:patternFill>
      </x:fill>
    </x:dxf>
    <x:dxf>
      <x:fill>
        <x:patternFill>
          <x:bgColor rgb="FFEAF0F8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1D6"/>
        </x:patternFill>
      </x:fill>
    </x:dxf>
    <x:dxf>
      <x:fill>
        <x:patternFill>
          <x:bgColor rgb="FFE8F1EB"/>
        </x:patternFill>
      </x:fill>
    </x:dxf>
    <x:dxf>
      <x:fill>
        <x:patternFill>
          <x:bgColor rgb="FFEAF0F8"/>
        </x:patternFill>
      </x:fill>
    </x:dxf>
    <x:dxf>
      <x:fill>
        <x:patternFill>
          <x:bgColor rgb="FFFFFFFF"/>
        </x:patternFill>
      </x:fill>
    </x:dxf>
    <x:dxf>
      <x:font>
        <x:color rgb="FF794B00"/>
      </x:font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b437bee0c486e" /><Relationship Type="http://schemas.openxmlformats.org/officeDocument/2006/relationships/theme" Target="/xl/theme/theme1.xml" Id="R56f50dfeed4d4bee" /><Relationship Type="http://schemas.openxmlformats.org/officeDocument/2006/relationships/sharedStrings" Target="/xl/sharedStrings.xml" Id="R1e7f2a73f2b340ed" /><Relationship Type="http://schemas.openxmlformats.org/officeDocument/2006/relationships/worksheet" Target="/xl/worksheets/sheet1.xml" Id="Rc384e69659694d19" /><Relationship Type="http://schemas.openxmlformats.org/officeDocument/2006/relationships/worksheet" Target="/xl/worksheets/sheet2.xml" Id="R690c87fb39664ce5" /></Relationships>
</file>

<file path=xl/tables/table1.xml><?xml version="1.0" encoding="utf-8"?>
<x:table xmlns:x="http://schemas.openxmlformats.org/spreadsheetml/2006/main" id="3" name="ProcurementWbs" displayName="ProcurementWbs" ref="A8:H42" totalsRowShown="0">
  <x:tableColumns count="8">
    <x:tableColumn id="1" name="ID WBS"/>
    <x:tableColumn id="2" name="Level"/>
    <x:tableColumn id="3" name="Modul / fitur"/>
    <x:tableColumn id="4" name="Hasil dan kriteria selesai"/>
    <x:tableColumn id="5" name="Pelaksana"/>
    <x:tableColumn id="6" name="Prioritas"/>
    <x:tableColumn id="7" name="Dependensi WBS"/>
    <x:tableColumn id="8" name="Statu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WbsTraceability" displayName="WbsTraceability" ref="A6:F33" totalsRowShown="0">
  <x:tableColumns count="6">
    <x:tableColumn id="1" name="ID WBS"/>
    <x:tableColumn id="2" name="ID kebutuhan"/>
    <x:tableColumn id="3" name="Aktivitas / gateway BPMN"/>
    <x:tableColumn id="4" name="Skenario uji / bukti"/>
    <x:tableColumn id="5" name="Kategori kebutuhan"/>
    <x:tableColumn id="6" name="Statu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cae01c12f24b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368f3dce9e4704" /></Relationships>
</file>

<file path=xl/worksheets/sheet1.xml><?xml version="1.0" encoding="utf-8"?>
<x:worksheet xmlns:x="http://schemas.openxmlformats.org/spreadsheetml/2006/main">
  <x:sheetPr>
    <x:tabColor rgb="FF304A5B"/>
  </x:sheetPr>
  <x:sheetViews>
    <x:sheetView showGridLines="0" workbookViewId="0">
      <x:pane xSplit="3" ySplit="8" topLeftCell="D9" activePane="bottomRight" state="frozen"/>
    </x:sheetView>
  </x:sheetViews>
  <x:sheetFormatPr defaultRowHeight="13.800000190734863"/>
  <x:cols>
    <x:col min="1" max="1" width="9.3984375" customWidth="1"/>
    <x:col min="2" max="2" width="6.5" customWidth="1"/>
    <x:col min="3" max="3" width="31.8984375" customWidth="1"/>
    <x:col min="4" max="4" width="65.59765625" customWidth="1"/>
    <x:col min="5" max="5" width="12.5" customWidth="1"/>
    <x:col min="6" max="6" width="11.8984375" customWidth="1"/>
    <x:col min="7" max="7" width="20.59765625" customWidth="1"/>
    <x:col min="8" max="8" width="16.8984375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1.950000762939453" customHeight="1">
      <x:c r="A2" s="17" t="s">
        <x:v>0</x:v>
      </x:c>
      <x:c r="B2" s="18"/>
      <x:c r="C2" s="18"/>
      <x:c r="D2" s="18"/>
      <x:c r="E2" s="19" t="str">
        <x:v>Progres per 25 Oktober 2026</x:v>
      </x:c>
      <x:c r="F2" s="18"/>
      <x:c r="G2" s="18"/>
      <x:c r="H2" s="18"/>
    </x:row>
    <x:row r="3" ht="24" customHeight="1">
      <x:c r="A3" s="20" t="str">
        <x:v>Tujuh modul dan 27 paket kerja. Status mengikuti bukti lokal; bukti hosting disebutkan pada Tracking.</x:v>
      </x:c>
      <x:c r="B3" s="20"/>
      <x:c r="C3" s="20"/>
      <x:c r="D3" s="20"/>
      <x:c r="E3" s="20"/>
      <x:c r="F3" s="20"/>
      <x:c r="G3" s="20"/>
      <x:c r="H3" s="20"/>
    </x:row>
    <x:row r="4" ht="28.950000762939453" customHeight="1">
      <x:c r="A4" s="7" t="s">
        <x:v>1</x:v>
      </x:c>
      <x:c r="B4" s="8" t="n">
        <x:f>COUNTIF(B9:B42,2)</x:f>
        <x:v>27</x:v>
      </x:c>
      <x:c r="C4" s="7" t="s">
        <x:v>2</x:v>
      </x:c>
      <x:c r="D4" s="9" t="n">
        <x:f>COUNTIFS(B9:B42,2,H9:H42,"Terverifikasi")</x:f>
        <x:v>25</x:v>
      </x:c>
      <x:c r="E4" s="7" t="s">
        <x:v>3</x:v>
      </x:c>
      <x:c r="F4" s="8" t="n">
        <x:f>COUNTIFS(B9:B42,2,H9:H42,"Dikerjakan")</x:f>
        <x:v>1</x:v>
      </x:c>
      <x:c r="G4" s="7" t="str">
        <x:v>Disetujui</x:v>
      </x:c>
      <x:c r="H4" s="10" t="n">
        <x:f>COUNTIFS(B9:B42,2,H9:H42,"Disetujui")</x:f>
        <x:v>1</x:v>
      </x:c>
    </x:row>
    <x:row r="5" ht="30" customHeight="1">
      <x:c r="A5" s="22" t="str">
        <x:v>Terverifikasi: kriteria paket teruji pada lingkup tercatat. Dikerjakan: masih ada pemeriksaan terbuka. Disetujui: baseline kebutuhan.</x:v>
      </x:c>
      <x:c r="B5" s="22"/>
      <x:c r="C5" s="22"/>
      <x:c r="D5" s="22"/>
      <x:c r="E5" s="22"/>
      <x:c r="F5" s="22"/>
      <x:c r="G5" s="22"/>
      <x:c r="H5" s="22"/>
    </x:row>
    <x:row r="6" ht="30" customHeight="1">
      <x:c r="A6" s="22" t="str">
        <x:v>Setup, pemeriksaan hosting, dan commit/push sumber terverifikasi. Pengiriman lampiran serta informasi akses belum dikonfirmasi.</x:v>
      </x:c>
      <x:c r="B6" s="22"/>
      <x:c r="C6" s="22"/>
      <x:c r="D6" s="22"/>
      <x:c r="E6" s="22"/>
      <x:c r="F6" s="22"/>
      <x:c r="G6" s="22"/>
      <x:c r="H6" s="22"/>
    </x:row>
    <x:row r="7">
      <x:c r="A7" s="1"/>
      <x:c r="B7" s="1"/>
      <x:c r="C7" s="1"/>
      <x:c r="D7" s="1"/>
      <x:c r="E7" s="1"/>
      <x:c r="F7" s="1"/>
      <x:c r="G7" s="1"/>
      <x:c r="H7" s="1"/>
    </x:row>
    <x:row r="8" ht="34.04999923706055" customHeight="1">
      <x:c r="A8" s="5" t="s">
        <x:v>4</x:v>
      </x:c>
      <x:c r="B8" s="5" t="s">
        <x:v>5</x:v>
      </x:c>
      <x:c r="C8" s="5" t="s">
        <x:v>6</x:v>
      </x:c>
      <x:c r="D8" s="5" t="s">
        <x:v>7</x:v>
      </x:c>
      <x:c r="E8" s="5" t="s">
        <x:v>8</x:v>
      </x:c>
      <x:c r="F8" s="5" t="s">
        <x:v>9</x:v>
      </x:c>
      <x:c r="G8" s="5" t="s">
        <x:v>10</x:v>
      </x:c>
      <x:c r="H8" s="5" t="s">
        <x:v>11</x:v>
      </x:c>
    </x:row>
    <x:row r="9" ht="28.950000762939453" customHeight="1">
      <x:c r="A9" s="11" t="str">
        <x:v>1</x:v>
      </x:c>
      <x:c r="B9" s="12" t="n">
        <x:v>1</x:v>
      </x:c>
      <x:c r="C9" s="13" t="str">
        <x:v>Analisis dan rancangan</x:v>
      </x:c>
      <x:c r="D9" s="13"/>
      <x:c r="E9" s="13"/>
      <x:c r="F9" s="13"/>
      <x:c r="G9" s="13"/>
      <x:c r="H9" s="13"/>
    </x:row>
    <x:row r="10" ht="76" customHeight="1">
      <x:c r="A10" s="2" t="str">
        <x:v>1.1</x:v>
      </x:c>
      <x:c r="B10" s="3" t="n">
        <x:v>2</x:v>
      </x:c>
      <x:c r="C10" s="4" t="str">
        <x:v>BPMN swimlane</x:v>
      </x:c>
      <x:c r="D10" s="4" t="str">
        <x:v>Lima halaman BPMN/PDF dan draw.io selaras; jalur utama tetap. BP-01 menjelaskan input manual serta bantuan AI opsional dengan pemeriksaan pengguna.</x:v>
      </x:c>
      <x:c r="E10" s="4" t="str">
        <x:v>Analis</x:v>
      </x:c>
      <x:c r="F10" s="4" t="str">
        <x:v>Wajib</x:v>
      </x:c>
      <x:c r="G10" s="4" t="str">
        <x:v>1.3</x:v>
      </x:c>
      <x:c r="H10" s="4" t="str">
        <x:v>Terverifikasi</x:v>
      </x:c>
    </x:row>
    <x:row r="11" ht="76" customHeight="1">
      <x:c r="A11" s="14" t="str">
        <x:v>1.2</x:v>
      </x:c>
      <x:c r="B11" s="15" t="n">
        <x:v>2</x:v>
      </x:c>
      <x:c r="C11" s="16" t="str">
        <x:v>WBS modul dan fitur</x:v>
      </x:c>
      <x:c r="D11" s="16" t="str">
        <x:v>Tujuh modul dan 27 paket kerja tetap utuh; dependensi valid, status dan formula Tracking terhubung. Revisi mencerminkan bukti per 25 Oktober 2026.</x:v>
      </x:c>
      <x:c r="E11" s="16" t="str">
        <x:v>Analis</x:v>
      </x:c>
      <x:c r="F11" s="16" t="str">
        <x:v>Wajib</x:v>
      </x:c>
      <x:c r="G11" s="16" t="str">
        <x:v>1.1; 1.3</x:v>
      </x:c>
      <x:c r="H11" s="16" t="str">
        <x:v>Terverifikasi</x:v>
      </x:c>
    </x:row>
    <x:row r="12" ht="66" customHeight="1">
      <x:c r="A12" s="2" t="str">
        <x:v>1.3</x:v>
      </x:c>
      <x:c r="B12" s="3" t="n">
        <x:v>2</x:v>
      </x:c>
      <x:c r="C12" s="4" t="str">
        <x:v>PRD dan aturan proses</x:v>
      </x:c>
      <x:c r="D12" s="4" t="str">
        <x:v>Cakupan, peran, status, aturan bisnis dan kriteria penerimaan ditetapkan sebagai acuan pengembangan.</x:v>
      </x:c>
      <x:c r="E12" s="4" t="str">
        <x:v>Analis</x:v>
      </x:c>
      <x:c r="F12" s="4" t="str">
        <x:v>Wajib</x:v>
      </x:c>
      <x:c r="G12" s="4" t="str">
        <x:v>-</x:v>
      </x:c>
      <x:c r="H12" s="4" t="str">
        <x:v>Disetujui</x:v>
      </x:c>
    </x:row>
    <x:row r="13" ht="76" customHeight="1">
      <x:c r="A13" s="14" t="str">
        <x:v>1.4</x:v>
      </x:c>
      <x:c r="B13" s="15" t="n">
        <x:v>2</x:v>
      </x:c>
      <x:c r="C13" s="16" t="str">
        <x:v>Arsitektur dan keamanan</x:v>
      </x:c>
      <x:c r="D13" s="16" t="str">
        <x:v>Arsitektur Django, session, CSRF, izin peran/objek dan penanganan error diterapkan. Pemeriksaan teknis lokal tercatat pada TESTING.</x:v>
      </x:c>
      <x:c r="E13" s="16" t="str">
        <x:v>Engineer</x:v>
      </x:c>
      <x:c r="F13" s="16" t="str">
        <x:v>Wajib</x:v>
      </x:c>
      <x:c r="G13" s="16" t="str">
        <x:v>1.3</x:v>
      </x:c>
      <x:c r="H13" s="16" t="str">
        <x:v>Terverifikasi</x:v>
      </x:c>
    </x:row>
    <x:row r="14" ht="76" customHeight="1">
      <x:c r="A14" s="2" t="str">
        <x:v>1.5</x:v>
      </x:c>
      <x:c r="B14" s="3" t="n">
        <x:v>2</x:v>
      </x:c>
      <x:c r="C14" s="4" t="str">
        <x:v>Schema dan migrasi</x:v>
      </x:c>
      <x:c r="D14" s="4" t="str">
        <x:v>Migrasi akun dan seluruh model domain tersedia; angka memakai integer berskala. Konsistensi migrasi serta transaksi/snapshot diuji lokal.</x:v>
      </x:c>
      <x:c r="E14" s="4" t="str">
        <x:v>Engineer</x:v>
      </x:c>
      <x:c r="F14" s="4" t="str">
        <x:v>Wajib</x:v>
      </x:c>
      <x:c r="G14" s="4" t="str">
        <x:v>1.3; 1.4</x:v>
      </x:c>
      <x:c r="H14" s="4" t="str">
        <x:v>Terverifikasi</x:v>
      </x:c>
    </x:row>
    <x:row r="15" ht="76" customHeight="1">
      <x:c r="A15" s="14" t="str">
        <x:v>1.6</x:v>
      </x:c>
      <x:c r="B15" s="15" t="n">
        <x:v>2</x:v>
      </x:c>
      <x:c r="C15" s="16" t="str">
        <x:v>Desain antarmuka</x:v>
      </x:c>
      <x:c r="D15" s="16" t="str">
        <x:v>Desain Operations Desk diterapkan: navigasi peran, form, tombol tindakan, status dan cetak. Panel AI opsional mengikuti arah visual yang sama.</x:v>
      </x:c>
      <x:c r="E15" s="16" t="str">
        <x:v>Engineer</x:v>
      </x:c>
      <x:c r="F15" s="16" t="str">
        <x:v>Wajib</x:v>
      </x:c>
      <x:c r="G15" s="16" t="str">
        <x:v>1.3; 1.4</x:v>
      </x:c>
      <x:c r="H15" s="16" t="str">
        <x:v>Terverifikasi</x:v>
      </x:c>
    </x:row>
    <x:row r="16" ht="28.950000762939453" customHeight="1">
      <x:c r="A16" s="11" t="str">
        <x:v>2</x:v>
      </x:c>
      <x:c r="B16" s="12" t="n">
        <x:v>1</x:v>
      </x:c>
      <x:c r="C16" s="13" t="str">
        <x:v>Akses dan permintaan</x:v>
      </x:c>
      <x:c r="D16" s="13"/>
      <x:c r="E16" s="13"/>
      <x:c r="F16" s="13"/>
      <x:c r="G16" s="13"/>
      <x:c r="H16" s="13"/>
    </x:row>
    <x:row r="17" ht="76" customHeight="1">
      <x:c r="A17" s="14" t="str">
        <x:v>2.1</x:v>
      </x:c>
      <x:c r="B17" s="15" t="n">
        <x:v>2</x:v>
      </x:c>
      <x:c r="C17" s="16" t="str">
        <x:v>Autentikasi dan hak akses</x:v>
      </x:c>
      <x:c r="D17" s="16" t="str">
        <x:v>Login/logout, akun nonaktif, sesi/reset password dan izin objek/peran diuji lokal. Larangan self-approval diperiksa melalui service/HTTP.</x:v>
      </x:c>
      <x:c r="E17" s="16" t="str">
        <x:v>Engineer</x:v>
      </x:c>
      <x:c r="F17" s="16" t="str">
        <x:v>Wajib</x:v>
      </x:c>
      <x:c r="G17" s="16" t="str">
        <x:v>1.4; 1.5</x:v>
      </x:c>
      <x:c r="H17" s="16" t="str">
        <x:v>Terverifikasi</x:v>
      </x:c>
    </x:row>
    <x:row r="18" ht="76" customHeight="1">
      <x:c r="A18" s="2" t="str">
        <x:v>2.2</x:v>
      </x:c>
      <x:c r="B18" s="3" t="n">
        <x:v>2</x:v>
      </x:c>
      <x:c r="C18" s="4" t="str">
        <x:v>Request dan rincian item</x:v>
      </x:c>
      <x:c r="D18" s="4" t="str">
        <x:v>Draf, edit dan pengajuan barang/jasa berjalan; item, jumlah, harga dan tanggal divalidasi server. Total dan snapshot revisi diuji lokal.</x:v>
      </x:c>
      <x:c r="E18" s="4" t="str">
        <x:v>Engineer</x:v>
      </x:c>
      <x:c r="F18" s="4" t="str">
        <x:v>Wajib</x:v>
      </x:c>
      <x:c r="G18" s="4" t="str">
        <x:v>2.1</x:v>
      </x:c>
      <x:c r="H18" s="4" t="str">
        <x:v>Terverifikasi</x:v>
      </x:c>
    </x:row>
    <x:row r="19" ht="66" customHeight="1">
      <x:c r="A19" s="14" t="str">
        <x:v>2.3</x:v>
      </x:c>
      <x:c r="B19" s="15" t="n">
        <x:v>2</x:v>
      </x:c>
      <x:c r="C19" s="16" t="str">
        <x:v>Persetujuan, revisi dan penolakan</x:v>
      </x:c>
      <x:c r="D19" s="16" t="str">
        <x:v>Satu keputusan per revisi; alasan revisi/penolakan wajib. Self-approval, revisi usang dan keputusan berulang ditolak tanpa perubahan parsial.</x:v>
      </x:c>
      <x:c r="E19" s="16" t="str">
        <x:v>Engineer</x:v>
      </x:c>
      <x:c r="F19" s="16" t="str">
        <x:v>Wajib</x:v>
      </x:c>
      <x:c r="G19" s="16" t="str">
        <x:v>2.2</x:v>
      </x:c>
      <x:c r="H19" s="16" t="str">
        <x:v>Terverifikasi</x:v>
      </x:c>
    </x:row>
    <x:row r="20" ht="66" customHeight="1">
      <x:c r="A20" s="2" t="str">
        <x:v>2.4</x:v>
      </x:c>
      <x:c r="B20" s="3" t="n">
        <x:v>2</x:v>
      </x:c>
      <x:c r="C20" s="4" t="str">
        <x:v>Riwayat revisi request</x:v>
      </x:c>
      <x:c r="D20" s="4" t="str">
        <x:v>Snapshot submit tetap utuh. Submit ulang memakai revisi baru; penawaran dan persetujuan lama tidak dapat dipakai menerbitkan PO.</x:v>
      </x:c>
      <x:c r="E20" s="4" t="str">
        <x:v>Engineer</x:v>
      </x:c>
      <x:c r="F20" s="4" t="str">
        <x:v>Wajib</x:v>
      </x:c>
      <x:c r="G20" s="4" t="str">
        <x:v>2.2; 2.3</x:v>
      </x:c>
      <x:c r="H20" s="4" t="str">
        <x:v>Terverifikasi</x:v>
      </x:c>
    </x:row>
    <x:row r="21" ht="28.950000762939453" customHeight="1">
      <x:c r="A21" s="11" t="str">
        <x:v>3</x:v>
      </x:c>
      <x:c r="B21" s="12" t="n">
        <x:v>1</x:v>
      </x:c>
      <x:c r="C21" s="13" t="str">
        <x:v>Sourcing dan purchase order</x:v>
      </x:c>
      <x:c r="D21" s="13"/>
      <x:c r="E21" s="13"/>
      <x:c r="F21" s="13"/>
      <x:c r="G21" s="13"/>
      <x:c r="H21" s="13"/>
    </x:row>
    <x:row r="22" ht="66" customHeight="1">
      <x:c r="A22" s="2" t="str">
        <x:v>3.1</x:v>
      </x:c>
      <x:c r="B22" s="3" t="n">
        <x:v>2</x:v>
      </x:c>
      <x:c r="C22" s="4" t="str">
        <x:v>Master vendor</x:v>
      </x:c>
      <x:c r="D22" s="4" t="str">
        <x:v>Nama/kontak vendor valid; vendor dapat dinonaktifkan tanpa menghapus hubungan dan dokumen historis.</x:v>
      </x:c>
      <x:c r="E22" s="4" t="str">
        <x:v>Engineer</x:v>
      </x:c>
      <x:c r="F22" s="4" t="str">
        <x:v>Wajib</x:v>
      </x:c>
      <x:c r="G22" s="4" t="str">
        <x:v>2.1</x:v>
      </x:c>
      <x:c r="H22" s="4" t="str">
        <x:v>Terverifikasi</x:v>
      </x:c>
    </x:row>
    <x:row r="23" ht="66" customHeight="1">
      <x:c r="A23" s="14" t="str">
        <x:v>3.2</x:v>
      </x:c>
      <x:c r="B23" s="15" t="n">
        <x:v>2</x:v>
      </x:c>
      <x:c r="C23" s="16" t="str">
        <x:v>Pencatatan dan perbandingan penawaran</x:v>
      </x:c>
      <x:c r="D23" s="16" t="str">
        <x:v>Penawaran mencakup tepat seluruh item/qty revisi aktif, harga final, referensi, masa berlaku dan jadwal pemenuhan yang valid.</x:v>
      </x:c>
      <x:c r="E23" s="16" t="str">
        <x:v>Engineer</x:v>
      </x:c>
      <x:c r="F23" s="16" t="str">
        <x:v>Wajib</x:v>
      </x:c>
      <x:c r="G23" s="16" t="str">
        <x:v>2.3; 3.1</x:v>
      </x:c>
      <x:c r="H23" s="16" t="str">
        <x:v>Terverifikasi</x:v>
      </x:c>
    </x:row>
    <x:row r="24" ht="76" customHeight="1">
      <x:c r="A24" s="2" t="str">
        <x:v>3.3</x:v>
      </x:c>
      <x:c r="B24" s="3" t="n">
        <x:v>2</x:v>
      </x:c>
      <x:c r="C24" s="4" t="str">
        <x:v>Pemilihan vendor dan revisi plafon</x:v>
      </x:c>
      <x:c r="D24" s="4" t="str">
        <x:v>Pilihan vendor beralasan, termasuk alasan hanya satu vendor. Revisi kebutuhan mencabut kelayakan pilihan lama dan memerlukan persetujuan ulang.</x:v>
      </x:c>
      <x:c r="E24" s="4" t="str">
        <x:v>Engineer</x:v>
      </x:c>
      <x:c r="F24" s="4" t="str">
        <x:v>Wajib</x:v>
      </x:c>
      <x:c r="G24" s="4" t="str">
        <x:v>3.2; 2.4</x:v>
      </x:c>
      <x:c r="H24" s="4" t="str">
        <x:v>Terverifikasi</x:v>
      </x:c>
    </x:row>
    <x:row r="25" ht="66" customHeight="1">
      <x:c r="A25" s="14" t="str">
        <x:v>3.4</x:v>
      </x:c>
      <x:c r="B25" s="15" t="n">
        <x:v>2</x:v>
      </x:c>
      <x:c r="C25" s="16" t="str">
        <x:v>Penerbitan purchase order</x:v>
      </x:c>
      <x:c r="D25" s="16" t="str">
        <x:v>Tepat satu PO per request; vendor aktif, penawaran berlaku dan total tidak melebihi plafon. Snapshot, versi dan deduplikasi diperiksa atomik.</x:v>
      </x:c>
      <x:c r="E25" s="16" t="str">
        <x:v>Engineer</x:v>
      </x:c>
      <x:c r="F25" s="16" t="str">
        <x:v>Wajib</x:v>
      </x:c>
      <x:c r="G25" s="16" t="str">
        <x:v>3.3</x:v>
      </x:c>
      <x:c r="H25" s="16" t="str">
        <x:v>Terverifikasi</x:v>
      </x:c>
    </x:row>
    <x:row r="26" ht="76" customHeight="1">
      <x:c r="A26" s="2" t="str">
        <x:v>3.5</x:v>
      </x:c>
      <x:c r="B26" s="3" t="n">
        <x:v>2</x:v>
      </x:c>
      <x:c r="C26" s="4" t="str">
        <x:v>Dokumen PO dan komunikasi manual</x:v>
      </x:c>
      <x:c r="D26" s="4" t="str">
        <x:v>PO dapat dibaca dan dicetak A4; tabel, total dan snapshot diuji lokal. Pengguna mengonfirmasi hasil cetak di hosting. Penyampaian ke vendor tetap manual.</x:v>
      </x:c>
      <x:c r="E26" s="4" t="str">
        <x:v>Engineer</x:v>
      </x:c>
      <x:c r="F26" s="4" t="str">
        <x:v>Wajib</x:v>
      </x:c>
      <x:c r="G26" s="4" t="str">
        <x:v>3.4</x:v>
      </x:c>
      <x:c r="H26" s="4" t="str">
        <x:v>Terverifikasi</x:v>
      </x:c>
    </x:row>
    <x:row r="27" ht="28.950000762939453" customHeight="1">
      <x:c r="A27" s="11" t="str">
        <x:v>4</x:v>
      </x:c>
      <x:c r="B27" s="12" t="n">
        <x:v>1</x:v>
      </x:c>
      <x:c r="C27" s="13" t="str">
        <x:v>Penerimaan dan pengecualian</x:v>
      </x:c>
      <x:c r="D27" s="13"/>
      <x:c r="E27" s="13"/>
      <x:c r="F27" s="13"/>
      <x:c r="G27" s="13"/>
      <x:c r="H27" s="13"/>
    </x:row>
    <x:row r="28" ht="66" customHeight="1">
      <x:c r="A28" s="2" t="str">
        <x:v>4.1</x:v>
      </x:c>
      <x:c r="B28" s="3" t="n">
        <x:v>2</x:v>
      </x:c>
      <x:c r="C28" s="4" t="str">
        <x:v>Penerimaan barang bertahap</x:v>
      </x:c>
      <x:c r="D28" s="4" t="str">
        <x:v>Penerimaan bertahap mencatat accepted/rejected dan referensi; penolakan beralasan. Sisa = ordered dikurangi accepted kumulatif; status PO sesuai hasil.</x:v>
      </x:c>
      <x:c r="E28" s="4" t="str">
        <x:v>Engineer</x:v>
      </x:c>
      <x:c r="F28" s="4" t="str">
        <x:v>Wajib</x:v>
      </x:c>
      <x:c r="G28" s="4" t="str">
        <x:v>3.4</x:v>
      </x:c>
      <x:c r="H28" s="4" t="str">
        <x:v>Terverifikasi</x:v>
      </x:c>
    </x:row>
    <x:row r="29" ht="66" customHeight="1">
      <x:c r="A29" s="14" t="str">
        <x:v>4.2</x:v>
      </x:c>
      <x:c r="B29" s="15" t="n">
        <x:v>2</x:v>
      </x:c>
      <x:c r="C29" s="16" t="str">
        <x:v>Penerimaan jasa</x:v>
      </x:c>
      <x:c r="D29" s="16" t="str">
        <x:v>Periode awal &lt;= akhir &lt;= tanggal konfirmasi; referensi dan hasil jasa tercatat. Accepted/rejected dan status mengikuti aturan penerimaan.</x:v>
      </x:c>
      <x:c r="E29" s="16" t="str">
        <x:v>Engineer</x:v>
      </x:c>
      <x:c r="F29" s="16" t="str">
        <x:v>Wajib</x:v>
      </x:c>
      <x:c r="G29" s="16" t="str">
        <x:v>3.4</x:v>
      </x:c>
      <x:c r="H29" s="16" t="str">
        <x:v>Terverifikasi</x:v>
      </x:c>
    </x:row>
    <x:row r="30" ht="66" customHeight="1">
      <x:c r="A30" s="2" t="str">
        <x:v>4.3</x:v>
      </x:c>
      <x:c r="B30" s="3" t="n">
        <x:v>2</x:v>
      </x:c>
      <x:c r="C30" s="4" t="str">
        <x:v>Pembatalan dan penutupan sisa</x:v>
      </x:c>
      <x:c r="D30" s="4" t="str">
        <x:v>Pemohon membatalkan PR sendiri sebelum PO. Approver lain menutup PO terbuka: accepted nol menjadi CANCELLED, sebagian menjadi CLOSED_SHORT; alasan dan histori utuh.</x:v>
      </x:c>
      <x:c r="E30" s="4" t="str">
        <x:v>Engineer</x:v>
      </x:c>
      <x:c r="F30" s="4" t="str">
        <x:v>Wajib</x:v>
      </x:c>
      <x:c r="G30" s="4" t="str">
        <x:v>2.2; 3.4; 4.1; 4.2</x:v>
      </x:c>
      <x:c r="H30" s="4" t="str">
        <x:v>Terverifikasi</x:v>
      </x:c>
    </x:row>
    <x:row r="31" ht="66" customHeight="1">
      <x:c r="A31" s="14" t="str">
        <x:v>4.4</x:v>
      </x:c>
      <x:c r="B31" s="15" t="n">
        <x:v>2</x:v>
      </x:c>
      <x:c r="C31" s="16" t="str">
        <x:v>Konsistensi transaksi penerimaan</x:v>
      </x:c>
      <x:c r="D31" s="16" t="str">
        <x:v>Posting multi-item all-or-nothing; item harus milik PO. Versi usang, pengiriman ulang dan aksi bersamaan tidak menyebabkan kelebihan accepted atau status bertentangan.</x:v>
      </x:c>
      <x:c r="E31" s="16" t="str">
        <x:v>Engineer</x:v>
      </x:c>
      <x:c r="F31" s="16" t="str">
        <x:v>Wajib</x:v>
      </x:c>
      <x:c r="G31" s="16" t="str">
        <x:v>4.1; 4.2; 4.3</x:v>
      </x:c>
      <x:c r="H31" s="16" t="str">
        <x:v>Terverifikasi</x:v>
      </x:c>
    </x:row>
    <x:row r="32" ht="28.950000762939453" customHeight="1">
      <x:c r="A32" s="11" t="str">
        <x:v>5</x:v>
      </x:c>
      <x:c r="B32" s="12" t="n">
        <x:v>1</x:v>
      </x:c>
      <x:c r="C32" s="13" t="str">
        <x:v>Tracking dan pengalaman pengguna</x:v>
      </x:c>
      <x:c r="D32" s="13"/>
      <x:c r="E32" s="13"/>
      <x:c r="F32" s="13"/>
      <x:c r="G32" s="13"/>
      <x:c r="H32" s="13"/>
    </x:row>
    <x:row r="33" ht="66" customHeight="1">
      <x:c r="A33" s="14" t="str">
        <x:v>5.1</x:v>
      </x:c>
      <x:c r="B33" s="15" t="n">
        <x:v>2</x:v>
      </x:c>
      <x:c r="C33" s="16" t="str">
        <x:v>Tracking, filter dan audit</x:v>
      </x:c>
      <x:c r="D33" s="16" t="str">
        <x:v>Pencarian nomor/judul, filter jenis/tahap, sisa per item dan audit aktor/waktu/alasan tersedia sesuai izin; tahap operasional mengikuti PO.</x:v>
      </x:c>
      <x:c r="E33" s="16" t="str">
        <x:v>Engineer</x:v>
      </x:c>
      <x:c r="F33" s="16" t="str">
        <x:v>Wajib</x:v>
      </x:c>
      <x:c r="G33" s="16" t="str">
        <x:v>2.1; 3.4; 4.1; 4.2</x:v>
      </x:c>
      <x:c r="H33" s="16" t="str">
        <x:v>Terverifikasi</x:v>
      </x:c>
    </x:row>
    <x:row r="34" ht="76" customHeight="1">
      <x:c r="A34" s="2" t="str">
        <x:v>5.2</x:v>
      </x:c>
      <x:c r="B34" s="3" t="n">
        <x:v>2</x:v>
      </x:c>
      <x:c r="C34" s="4" t="str">
        <x:v>UI responsive dan aksesibilitas</x:v>
      </x:c>
      <x:c r="D34" s="4" t="str">
        <x:v>Keyboard, fokus, kontras dan reflow diperiksa pada sampel lokal. Panel AI diuji pada 320/390/768/1440 piksel; perangkat fisik/pembaca layar belum diuji.</x:v>
      </x:c>
      <x:c r="E34" s="4" t="str">
        <x:v>Engineer</x:v>
      </x:c>
      <x:c r="F34" s="4" t="str">
        <x:v>Wajib</x:v>
      </x:c>
      <x:c r="G34" s="4" t="str">
        <x:v>1.6; 2.1</x:v>
      </x:c>
      <x:c r="H34" s="4" t="str">
        <x:v>Terverifikasi</x:v>
      </x:c>
    </x:row>
    <x:row r="35" ht="66" customHeight="1">
      <x:c r="A35" s="14" t="str">
        <x:v>5.3</x:v>
      </x:c>
      <x:c r="B35" s="15" t="n">
        <x:v>2</x:v>
      </x:c>
      <x:c r="C35" s="16" t="str">
        <x:v>State dan pesan kesalahan</x:v>
      </x:c>
      <x:c r="D35" s="16" t="str">
        <x:v>Empty/loading/error tampil sesuai kondisi; input aman dipertahankan; pesan tidak membocorkan detail internal; submit ganda ditangani server.</x:v>
      </x:c>
      <x:c r="E35" s="16" t="str">
        <x:v>Engineer</x:v>
      </x:c>
      <x:c r="F35" s="16" t="str">
        <x:v>Wajib</x:v>
      </x:c>
      <x:c r="G35" s="16" t="str">
        <x:v>5.2</x:v>
      </x:c>
      <x:c r="H35" s="16" t="str">
        <x:v>Terverifikasi</x:v>
      </x:c>
    </x:row>
    <x:row r="36" ht="28.950000762939453" customHeight="1">
      <x:c r="A36" s="11" t="str">
        <x:v>6</x:v>
      </x:c>
      <x:c r="B36" s="12" t="n">
        <x:v>1</x:v>
      </x:c>
      <x:c r="C36" s="13" t="str">
        <x:v>Pengujian dan pengumpulan</x:v>
      </x:c>
      <x:c r="D36" s="13"/>
      <x:c r="E36" s="13"/>
      <x:c r="F36" s="13"/>
      <x:c r="G36" s="13"/>
      <x:c r="H36" s="13"/>
    </x:row>
    <x:row r="37" ht="92" customHeight="1">
      <x:c r="A37" s="14" t="str">
        <x:v>6.1</x:v>
      </x:c>
      <x:c r="B37" s="15" t="n">
        <x:v>2</x:v>
      </x:c>
      <x:c r="C37" s="16" t="str">
        <x:v>Setup, data demo dan README</x:v>
      </x:c>
      <x:c r="D37" s="16" t="str">
        <x:v>Instalasi bersih versi akhir, termasuk dependensi AI, lulus pada virtualenv/database sintetis baru: migrasi, seed dua kali, 297 tes, profil hosting dan static files.</x:v>
      </x:c>
      <x:c r="E37" s="16" t="str">
        <x:v>Engineer</x:v>
      </x:c>
      <x:c r="F37" s="16" t="str">
        <x:v>Wajib</x:v>
      </x:c>
      <x:c r="G37" s="16" t="str">
        <x:v>1.4; 1.5; 2.1</x:v>
      </x:c>
      <x:c r="H37" s="16" t="str">
        <x:v>Terverifikasi</x:v>
      </x:c>
    </x:row>
    <x:row r="38" ht="76" customHeight="1">
      <x:c r="A38" s="2" t="str">
        <x:v>6.2</x:v>
      </x:c>
      <x:c r="B38" s="3" t="n">
        <x:v>2</x:v>
      </x:c>
      <x:c r="C38" s="4" t="str">
        <x:v>Pengujian dan regresi</x:v>
      </x:c>
      <x:c r="D38" s="4" t="str">
        <x:v>297 tes Django, 62 pemeriksaan browser manual dan 7 kelompok UI AI lulus lokal. Screenshot hosting mengonfirmasi AI teks/gambar sampai draf tersimpan.</x:v>
      </x:c>
      <x:c r="E38" s="4" t="str">
        <x:v>Engineer</x:v>
      </x:c>
      <x:c r="F38" s="4" t="str">
        <x:v>Wajib</x:v>
      </x:c>
      <x:c r="G38" s="4" t="str">
        <x:v>2.3; 3.5; 4.3; 4.4; 5.1; 5.3</x:v>
      </x:c>
      <x:c r="H38" s="4" t="str">
        <x:v>Terverifikasi</x:v>
      </x:c>
    </x:row>
    <x:row r="39" ht="92" customHeight="1">
      <x:c r="A39" s="14" t="str">
        <x:v>6.3</x:v>
      </x:c>
      <x:c r="B39" s="15" t="n">
        <x:v>2</x:v>
      </x:c>
      <x:c r="C39" s="16" t="str">
        <x:v>Verifikasi keamanan dasar</x:v>
      </x:c>
      <x:c r="D39" s="16" t="str">
        <x:v>Pemeriksaan keamanan dasar lokal dan hosting lulus pada lingkup tercatat: HTTPS/header, CSRF, akses, migrasi dan izin file privat. Dua warning HSTS terdokumentasi.</x:v>
      </x:c>
      <x:c r="E39" s="16" t="str">
        <x:v>Engineer</x:v>
      </x:c>
      <x:c r="F39" s="16" t="str">
        <x:v>Wajib</x:v>
      </x:c>
      <x:c r="G39" s="16" t="str">
        <x:v>6.1; 6.2</x:v>
      </x:c>
      <x:c r="H39" s="16" t="str">
        <x:v>Terverifikasi</x:v>
      </x:c>
    </x:row>
    <x:row r="40" ht="92" customHeight="1">
      <x:c r="A40" s="2" t="str">
        <x:v>6.4</x:v>
      </x:c>
      <x:c r="B40" s="3" t="n">
        <x:v>2</x:v>
      </x:c>
      <x:c r="C40" s="4" t="str">
        <x:v>Paket penyerahan</x:v>
      </x:c>
      <x:c r="D40" s="4" t="str">
        <x:v>Sumber pada main commit 5209c62 sudah dipush dan diverifikasi. Lampiran tersedia pada repository; pengiriman hasil melalui email belum dikonfirmasi.</x:v>
      </x:c>
      <x:c r="E40" s="4" t="str">
        <x:v>Engineer</x:v>
      </x:c>
      <x:c r="F40" s="4" t="str">
        <x:v>Wajib</x:v>
      </x:c>
      <x:c r="G40" s="4" t="str">
        <x:v>1.1; 1.2; 6.1; 6.2; 6.3</x:v>
      </x:c>
      <x:c r="H40" s="4" t="str">
        <x:v>Dikerjakan</x:v>
      </x:c>
    </x:row>
    <x:row r="41" ht="28.950000762939453" customHeight="1">
      <x:c r="A41" s="11" t="str">
        <x:v>7</x:v>
      </x:c>
      <x:c r="B41" s="12" t="n">
        <x:v>1</x:v>
      </x:c>
      <x:c r="C41" s="13" t="str">
        <x:v>Nilai tambahan</x:v>
      </x:c>
      <x:c r="D41" s="13"/>
      <x:c r="E41" s="13"/>
      <x:c r="F41" s="13"/>
      <x:c r="G41" s="13"/>
      <x:c r="H41" s="13"/>
    </x:row>
    <x:row r="42" ht="76" customHeight="1">
      <x:c r="A42" s="2" t="str">
        <x:v>7.1</x:v>
      </x:c>
      <x:c r="B42" s="3" t="n">
        <x:v>2</x:v>
      </x:c>
      <x:c r="C42" s="4" t="str">
        <x:v>Bantuan input AI / Computer Vision</x:v>
      </x:c>
      <x:c r="D42" s="4" t="str">
        <x:v>Bantuan AI teks/gambar opsional memberi usulan untuk diperiksa sebelum diterapkan. Manual tetap tersedia. Contoh gambar jelas sampai draf berhasil di hosting.</x:v>
      </x:c>
      <x:c r="E42" s="4" t="str">
        <x:v>Engineer</x:v>
      </x:c>
      <x:c r="F42" s="4" t="str">
        <x:v>Opsional</x:v>
      </x:c>
      <x:c r="G42" s="4" t="str">
        <x:v>2.2; 6.2</x:v>
      </x:c>
      <x:c r="H42" s="4" t="str">
        <x:v>Terverifikasi</x:v>
      </x:c>
    </x:row>
  </x:sheetData>
  <x:mergeCells>
    <x:mergeCell ref="A2:D2"/>
    <x:mergeCell ref="E2:H2"/>
    <x:mergeCell ref="A3:H3"/>
    <x:mergeCell ref="A5:H5"/>
    <x:mergeCell ref="A6:H6"/>
  </x:mergeCells>
  <x:conditionalFormatting sqref="H9:H42">
    <x:cfRule type="containsText" dxfId="8" priority="1" operator="containsText" text="Ditunda"/>
    <x:cfRule type="containsText" dxfId="7" priority="2" operator="containsText" text="Direncanakan"/>
    <x:cfRule type="containsText" dxfId="6" priority="3" operator="containsText" text="Dikerjakan"/>
    <x:cfRule type="containsText" dxfId="5" priority="4" operator="containsText" text="Terverifikasi"/>
    <x:cfRule type="containsText" dxfId="4" priority="6" operator="containsText" text="Ditunda"/>
  </x:conditionalFormatting>
  <x:dataValidations count="1">
    <x:dataValidation type="list" sqref="H42 H37:H40 H33:H35 H28:H31 H22:H26 H17:H20 H10:H15">
      <x:formula1>"Direncanakan,Dikerjakan,Terverifikasi,Disetujui,Ditunda"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cae01c12f24b3a"/>
  </x:tableParts>
</x:worksheet>
</file>

<file path=xl/worksheets/sheet2.xml><?xml version="1.0" encoding="utf-8"?>
<x:worksheet xmlns:x="http://schemas.openxmlformats.org/spreadsheetml/2006/main">
  <x:sheetPr>
    <x:tabColor rgb="FF304A5B"/>
  </x:sheetPr>
  <x:sheetViews>
    <x:sheetView showGridLines="0" workbookViewId="0">
      <x:pane xSplit="1" ySplit="6" topLeftCell="B7" activePane="bottomRight" state="frozen"/>
    </x:sheetView>
  </x:sheetViews>
  <x:sheetFormatPr defaultRowHeight="13.800000190734863"/>
  <x:cols>
    <x:col min="1" max="1" width="10" customWidth="1"/>
    <x:col min="2" max="2" width="28.69921875" customWidth="1"/>
    <x:col min="3" max="3" width="35.59765625" customWidth="1"/>
    <x:col min="4" max="4" width="41.19921875" customWidth="1"/>
    <x:col min="5" max="5" width="23.09765625" customWidth="1"/>
    <x:col min="6" max="6" width="16.8984375" customWidth="1"/>
  </x:cols>
  <x:sheetData>
    <x:row r="1">
      <x:c r="A1" s="1"/>
      <x:c r="B1" s="1"/>
      <x:c r="C1" s="1"/>
      <x:c r="D1" s="1"/>
      <x:c r="E1" s="1"/>
      <x:c r="F1" s="1"/>
    </x:row>
    <x:row r="2" ht="31.950000762939453" customHeight="1">
      <x:c r="A2" s="17" t="s">
        <x:v>12</x:v>
      </x:c>
      <x:c r="B2" s="18"/>
      <x:c r="C2" s="18"/>
      <x:c r="D2" s="18"/>
      <x:c r="E2" s="18"/>
      <x:c r="F2" s="18"/>
    </x:row>
    <x:row r="3" ht="32" customHeight="1">
      <x:c r="A3" s="23" t="str">
        <x:v>Bukti lokal: TESTING. Bukti hosting: screenshot pengguna. Status mengikuti WBS; bukan pernyataan seluruh kondisi produksi teruji.</x:v>
      </x:c>
      <x:c r="B3" s="23"/>
      <x:c r="C3" s="23"/>
      <x:c r="D3" s="23"/>
      <x:c r="E3" s="23"/>
      <x:c r="F3" s="23"/>
    </x:row>
    <x:row r="4" ht="24" customHeight="1">
      <x:c r="A4" s="20" t="s">
        <x:v>13</x:v>
      </x:c>
      <x:c r="B4" s="20"/>
      <x:c r="C4" s="20"/>
      <x:c r="D4" s="20"/>
      <x:c r="E4" s="20"/>
      <x:c r="F4" s="20"/>
    </x:row>
    <x:row r="5" ht="24" customHeight="1">
      <x:c r="A5" s="6"/>
      <x:c r="B5" s="6"/>
      <x:c r="C5" s="6"/>
      <x:c r="D5" s="6"/>
      <x:c r="E5" s="6"/>
      <x:c r="F5" s="6"/>
    </x:row>
    <x:row r="6" ht="34.04999923706055" customHeight="1">
      <x:c r="A6" s="5" t="s">
        <x:v>4</x:v>
      </x:c>
      <x:c r="B6" s="5" t="s">
        <x:v>14</x:v>
      </x:c>
      <x:c r="C6" s="5" t="s">
        <x:v>15</x:v>
      </x:c>
      <x:c r="D6" s="5" t="s">
        <x:v>16</x:v>
      </x:c>
      <x:c r="E6" s="5" t="s">
        <x:v>17</x:v>
      </x:c>
      <x:c r="F6" s="5" t="s">
        <x:v>11</x:v>
      </x:c>
    </x:row>
    <x:row r="7" ht="78" customHeight="1">
      <x:c r="A7" s="2" t="str">
        <x:v>1.1</x:v>
      </x:c>
      <x:c r="B7" s="4" t="str">
        <x:v>EX-02</x:v>
      </x:c>
      <x:c r="C7" s="4" t="str">
        <x:v>BP-01..BP-15; GW-01..GW-06</x:v>
      </x:c>
      <x:c r="D7" s="4" t="str">
        <x:v>Review revisi v1.2: lima halaman, label BP/GW, jalur dan keselarasan PDF/draw.io; AI hanya keterangan BP-01.</x:v>
      </x:c>
      <x:c r="E7" s="4" t="str">
        <x:v>Dokumen perencanaan</x:v>
      </x:c>
      <x:c r="F7" s="4" t="str">
        <x:f>WBS!H10</x:f>
        <x:v>Terverifikasi</x:v>
      </x:c>
    </x:row>
    <x:row r="8" ht="78" customHeight="1">
      <x:c r="A8" s="14" t="str">
        <x:v>1.2</x:v>
      </x:c>
      <x:c r="B8" s="16" t="str">
        <x:v>EX-03</x:v>
      </x:c>
      <x:c r="C8" s="16" t="str">
        <x:v>Seluruh BP/GW</x:v>
      </x:c>
      <x:c r="D8" s="16" t="str">
        <x:v>27 paket; dependensi tidak bersiklus; formula ringkasan dan status Tracking diuji dengan perubahan lalu dipulihkan.</x:v>
      </x:c>
      <x:c r="E8" s="16" t="str">
        <x:v>Dokumen perencanaan</x:v>
      </x:c>
      <x:c r="F8" s="16" t="str">
        <x:f>WBS!H11</x:f>
        <x:v>Terverifikasi</x:v>
      </x:c>
    </x:row>
    <x:row r="9" ht="61.95000076293945" customHeight="1">
      <x:c r="A9" s="2" t="str">
        <x:v>1.3</x:v>
      </x:c>
      <x:c r="B9" s="4" t="str">
        <x:v>EX-06; FR-01..FR-13</x:v>
      </x:c>
      <x:c r="C9" s="4" t="str">
        <x:v>BP-00..BP-16</x:v>
      </x:c>
      <x:c r="D9" s="4" t="str">
        <x:v>Review kebutuhan</x:v>
      </x:c>
      <x:c r="E9" s="4" t="str">
        <x:v>Kebutuhan produk</x:v>
      </x:c>
      <x:c r="F9" s="4" t="str">
        <x:f>WBS!H12</x:f>
        <x:v>Disetujui</x:v>
      </x:c>
    </x:row>
    <x:row r="10" ht="78" customHeight="1">
      <x:c r="A10" s="14" t="str">
        <x:v>1.4</x:v>
      </x:c>
      <x:c r="B10" s="16" t="str">
        <x:v>EX-05; FR-01; FR-12</x:v>
      </x:c>
      <x:c r="C10" s="16" t="str">
        <x:v>BP-00</x:v>
      </x:c>
      <x:c r="D10" s="16" t="str">
        <x:v>TESTING: suite Django, HTTP, concurrency dan profil PythonAnywhere; hasil lokal dibedakan dari host.</x:v>
      </x:c>
      <x:c r="E10" s="16" t="str">
        <x:v>Rancangan teknis</x:v>
      </x:c>
      <x:c r="F10" s="16" t="str">
        <x:f>WBS!H13</x:f>
        <x:v>Terverifikasi</x:v>
      </x:c>
    </x:row>
    <x:row r="11" ht="78" customHeight="1">
      <x:c r="A11" s="2" t="str">
        <x:v>1.5</x:v>
      </x:c>
      <x:c r="B11" s="4" t="str">
        <x:v>EX-05; FR-02; FR-07; FR-08</x:v>
      </x:c>
      <x:c r="C11" s="4" t="str">
        <x:v>BP-02; BP-08; BP-13</x:v>
      </x:c>
      <x:c r="D11" s="4" t="str">
        <x:v>TC-04/11/13; 297 tes terakhir lulus; makemigrations --check --dry-run: tidak ada perubahan.</x:v>
      </x:c>
      <x:c r="E11" s="4" t="str">
        <x:v>Rancangan teknis</x:v>
      </x:c>
      <x:c r="F11" s="4" t="str">
        <x:f>WBS!H14</x:f>
        <x:v>Terverifikasi</x:v>
      </x:c>
    </x:row>
    <x:row r="12" ht="61.95000076293945" customHeight="1">
      <x:c r="A12" s="14" t="str">
        <x:v>1.6</x:v>
      </x:c>
      <x:c r="B12" s="16" t="str">
        <x:v>FR-12</x:v>
      </x:c>
      <x:c r="C12" s="16" t="str">
        <x:v>Seluruh BP internal</x:v>
      </x:c>
      <x:c r="D12" s="16" t="str">
        <x:v>TC-18</x:v>
      </x:c>
      <x:c r="E12" s="16" t="str">
        <x:v>Kebutuhan produk</x:v>
      </x:c>
      <x:c r="F12" s="16" t="str">
        <x:f>WBS!H15</x:f>
        <x:v>Terverifikasi</x:v>
      </x:c>
    </x:row>
    <x:row r="13" ht="78" customHeight="1">
      <x:c r="A13" s="2" t="str">
        <x:v>2.1</x:v>
      </x:c>
      <x:c r="B13" s="4" t="str">
        <x:v>FR-01</x:v>
      </x:c>
      <x:c r="C13" s="4" t="str">
        <x:v>BP-00</x:v>
      </x:c>
      <x:c r="D13" s="4" t="str">
        <x:v>TC-01/02; suite akun/vendor/sesi 15 pemeriksaan lokal; izin objek dan self-approval diuji.</x:v>
      </x:c>
      <x:c r="E13" s="4" t="str">
        <x:v>Kebutuhan produk</x:v>
      </x:c>
      <x:c r="F13" s="4" t="str">
        <x:f>WBS!H17</x:f>
        <x:v>Terverifikasi</x:v>
      </x:c>
    </x:row>
    <x:row r="14" ht="61.95000076293945" customHeight="1">
      <x:c r="A14" s="14" t="str">
        <x:v>2.2</x:v>
      </x:c>
      <x:c r="B14" s="16" t="str">
        <x:v>FR-02</x:v>
      </x:c>
      <x:c r="C14" s="16" t="str">
        <x:v>BP-01; BP-02</x:v>
      </x:c>
      <x:c r="D14" s="16" t="str">
        <x:v>TC-03; TC-04</x:v>
      </x:c>
      <x:c r="E14" s="16" t="str">
        <x:v>Kebutuhan produk</x:v>
      </x:c>
      <x:c r="F14" s="16" t="str">
        <x:f>WBS!H18</x:f>
        <x:v>Terverifikasi</x:v>
      </x:c>
    </x:row>
    <x:row r="15" ht="61.95000076293945" customHeight="1">
      <x:c r="A15" s="2" t="str">
        <x:v>2.3</x:v>
      </x:c>
      <x:c r="B15" s="4" t="str">
        <x:v>FR-03</x:v>
      </x:c>
      <x:c r="C15" s="4" t="str">
        <x:v>BP-03; GW-01</x:v>
      </x:c>
      <x:c r="D15" s="4" t="str">
        <x:v>TC-05; TC-06</x:v>
      </x:c>
      <x:c r="E15" s="4" t="str">
        <x:v>Kebutuhan produk</x:v>
      </x:c>
      <x:c r="F15" s="4" t="str">
        <x:f>WBS!H19</x:f>
        <x:v>Terverifikasi</x:v>
      </x:c>
    </x:row>
    <x:row r="16" ht="61.95000076293945" customHeight="1">
      <x:c r="A16" s="14" t="str">
        <x:v>2.4</x:v>
      </x:c>
      <x:c r="B16" s="16" t="str">
        <x:v>FR-06</x:v>
      </x:c>
      <x:c r="C16" s="16" t="str">
        <x:v>BP-02; BP-07</x:v>
      </x:c>
      <x:c r="D16" s="16" t="str">
        <x:v>TC-10</x:v>
      </x:c>
      <x:c r="E16" s="16" t="str">
        <x:v>Kebutuhan produk</x:v>
      </x:c>
      <x:c r="F16" s="16" t="str">
        <x:f>WBS!H20</x:f>
        <x:v>Terverifikasi</x:v>
      </x:c>
    </x:row>
    <x:row r="17" ht="61.95000076293945" customHeight="1">
      <x:c r="A17" s="2" t="str">
        <x:v>3.1</x:v>
      </x:c>
      <x:c r="B17" s="4" t="str">
        <x:v>FR-04</x:v>
      </x:c>
      <x:c r="C17" s="4" t="str">
        <x:v>BP-04</x:v>
      </x:c>
      <x:c r="D17" s="4" t="str">
        <x:v>TC-07</x:v>
      </x:c>
      <x:c r="E17" s="4" t="str">
        <x:v>Kebutuhan produk</x:v>
      </x:c>
      <x:c r="F17" s="4" t="str">
        <x:f>WBS!H22</x:f>
        <x:v>Terverifikasi</x:v>
      </x:c>
    </x:row>
    <x:row r="18" ht="61.95000076293945" customHeight="1">
      <x:c r="A18" s="14" t="str">
        <x:v>3.2</x:v>
      </x:c>
      <x:c r="B18" s="16" t="str">
        <x:v>FR-05</x:v>
      </x:c>
      <x:c r="C18" s="16" t="str">
        <x:v>BP-05; GW-02</x:v>
      </x:c>
      <x:c r="D18" s="16" t="str">
        <x:v>TC-08</x:v>
      </x:c>
      <x:c r="E18" s="16" t="str">
        <x:v>Kebutuhan produk</x:v>
      </x:c>
      <x:c r="F18" s="16" t="str">
        <x:f>WBS!H23</x:f>
        <x:v>Terverifikasi</x:v>
      </x:c>
    </x:row>
    <x:row r="19" ht="61.95000076293945" customHeight="1">
      <x:c r="A19" s="2" t="str">
        <x:v>3.3</x:v>
      </x:c>
      <x:c r="B19" s="4" t="str">
        <x:v>FR-06</x:v>
      </x:c>
      <x:c r="C19" s="4" t="str">
        <x:v>BP-06; BP-07; GW-03</x:v>
      </x:c>
      <x:c r="D19" s="4" t="str">
        <x:v>TC-09; TC-10</x:v>
      </x:c>
      <x:c r="E19" s="4" t="str">
        <x:v>Kebutuhan produk</x:v>
      </x:c>
      <x:c r="F19" s="4" t="str">
        <x:f>WBS!H24</x:f>
        <x:v>Terverifikasi</x:v>
      </x:c>
    </x:row>
    <x:row r="20" ht="61.95000076293945" customHeight="1">
      <x:c r="A20" s="14" t="str">
        <x:v>3.4</x:v>
      </x:c>
      <x:c r="B20" s="16" t="str">
        <x:v>FR-07</x:v>
      </x:c>
      <x:c r="C20" s="16" t="str">
        <x:v>BP-08; GW-03</x:v>
      </x:c>
      <x:c r="D20" s="16" t="str">
        <x:v>TC-11</x:v>
      </x:c>
      <x:c r="E20" s="16" t="str">
        <x:v>Kebutuhan produk</x:v>
      </x:c>
      <x:c r="F20" s="16" t="str">
        <x:f>WBS!H25</x:f>
        <x:v>Terverifikasi</x:v>
      </x:c>
    </x:row>
    <x:row r="21" ht="78" customHeight="1">
      <x:c r="A21" s="2" t="str">
        <x:v>3.5</x:v>
      </x:c>
      <x:c r="B21" s="4" t="str">
        <x:v>FR-07</x:v>
      </x:c>
      <x:c r="C21" s="4" t="str">
        <x:v>BP-09</x:v>
      </x:c>
      <x:c r="D21" s="4" t="str">
        <x:v>Sembilan PDF lokal A4; screenshot hasil cetak barang/jasa hosting. Tidak membuktikan semua driver printer.</x:v>
      </x:c>
      <x:c r="E21" s="4" t="str">
        <x:v>Kebutuhan produk</x:v>
      </x:c>
      <x:c r="F21" s="4" t="str">
        <x:f>WBS!H26</x:f>
        <x:v>Terverifikasi</x:v>
      </x:c>
    </x:row>
    <x:row r="22" ht="61.95000076293945" customHeight="1">
      <x:c r="A22" s="14" t="str">
        <x:v>4.1</x:v>
      </x:c>
      <x:c r="B22" s="16" t="str">
        <x:v>FR-08</x:v>
      </x:c>
      <x:c r="C22" s="16" t="str">
        <x:v>BP-10; BP-11; BP-13; GW-04; GW-05</x:v>
      </x:c>
      <x:c r="D22" s="16" t="str">
        <x:v>TC-12; TC-13</x:v>
      </x:c>
      <x:c r="E22" s="16" t="str">
        <x:v>Kebutuhan produk</x:v>
      </x:c>
      <x:c r="F22" s="16" t="str">
        <x:f>WBS!H28</x:f>
        <x:v>Terverifikasi</x:v>
      </x:c>
    </x:row>
    <x:row r="23" ht="61.95000076293945" customHeight="1">
      <x:c r="A23" s="2" t="str">
        <x:v>4.2</x:v>
      </x:c>
      <x:c r="B23" s="4" t="str">
        <x:v>FR-09</x:v>
      </x:c>
      <x:c r="C23" s="4" t="str">
        <x:v>BP-10; BP-12; BP-13; GW-04; GW-05</x:v>
      </x:c>
      <x:c r="D23" s="4" t="str">
        <x:v>TC-14</x:v>
      </x:c>
      <x:c r="E23" s="4" t="str">
        <x:v>Kebutuhan produk</x:v>
      </x:c>
      <x:c r="F23" s="4" t="str">
        <x:f>WBS!H29</x:f>
        <x:v>Terverifikasi</x:v>
      </x:c>
    </x:row>
    <x:row r="24" ht="61.95000076293945" customHeight="1">
      <x:c r="A24" s="14" t="str">
        <x:v>4.3</x:v>
      </x:c>
      <x:c r="B24" s="16" t="str">
        <x:v>FR-10</x:v>
      </x:c>
      <x:c r="C24" s="16" t="str">
        <x:v>BP-14; BP-15; GW-06</x:v>
      </x:c>
      <x:c r="D24" s="16" t="str">
        <x:v>TC-15; TC-16</x:v>
      </x:c>
      <x:c r="E24" s="16" t="str">
        <x:v>Kebutuhan produk</x:v>
      </x:c>
      <x:c r="F24" s="16" t="str">
        <x:f>WBS!H30</x:f>
        <x:v>Terverifikasi</x:v>
      </x:c>
    </x:row>
    <x:row r="25" ht="61.95000076293945" customHeight="1">
      <x:c r="A25" s="2" t="str">
        <x:v>4.4</x:v>
      </x:c>
      <x:c r="B25" s="4" t="str">
        <x:v>FR-08; FR-09; FR-10</x:v>
      </x:c>
      <x:c r="C25" s="4" t="str">
        <x:v>BP-08; BP-13; BP-14; BP-15</x:v>
      </x:c>
      <x:c r="D25" s="4" t="str">
        <x:v>TC-11; TC-13; TC-16</x:v>
      </x:c>
      <x:c r="E25" s="4" t="str">
        <x:v>Kebutuhan produk</x:v>
      </x:c>
      <x:c r="F25" s="4" t="str">
        <x:f>WBS!H31</x:f>
        <x:v>Terverifikasi</x:v>
      </x:c>
    </x:row>
    <x:row r="26" ht="61.95000076293945" customHeight="1">
      <x:c r="A26" s="14" t="str">
        <x:v>5.1</x:v>
      </x:c>
      <x:c r="B26" s="16" t="str">
        <x:v>FR-11</x:v>
      </x:c>
      <x:c r="C26" s="16" t="str">
        <x:v>BP-16</x:v>
      </x:c>
      <x:c r="D26" s="16" t="str">
        <x:v>TC-17</x:v>
      </x:c>
      <x:c r="E26" s="16" t="str">
        <x:v>Kebutuhan produk</x:v>
      </x:c>
      <x:c r="F26" s="16" t="str">
        <x:f>WBS!H33</x:f>
        <x:v>Terverifikasi</x:v>
      </x:c>
    </x:row>
    <x:row r="27" ht="78" customHeight="1">
      <x:c r="A27" s="2" t="str">
        <x:v>5.2</x:v>
      </x:c>
      <x:c r="B27" s="4" t="str">
        <x:v>FR-12</x:v>
      </x:c>
      <x:c r="C27" s="4" t="str">
        <x:v>Seluruh BP internal</x:v>
      </x:c>
      <x:c r="D27" s="4" t="str">
        <x:v>TC-18; sampel reflow/keyboard dan empat viewport AI; pembaca layar/perangkat fisik belum diuji.</x:v>
      </x:c>
      <x:c r="E27" s="4" t="str">
        <x:v>Kebutuhan produk</x:v>
      </x:c>
      <x:c r="F27" s="4" t="str">
        <x:f>WBS!H34</x:f>
        <x:v>Terverifikasi</x:v>
      </x:c>
    </x:row>
    <x:row r="28" ht="61.95000076293945" customHeight="1">
      <x:c r="A28" s="14" t="str">
        <x:v>5.3</x:v>
      </x:c>
      <x:c r="B28" s="16" t="str">
        <x:v>FR-12</x:v>
      </x:c>
      <x:c r="C28" s="16" t="str">
        <x:v>Seluruh BP internal</x:v>
      </x:c>
      <x:c r="D28" s="16" t="str">
        <x:v>TC-18</x:v>
      </x:c>
      <x:c r="E28" s="16" t="str">
        <x:v>Kebutuhan produk</x:v>
      </x:c>
      <x:c r="F28" s="16" t="str">
        <x:f>WBS!H35</x:f>
        <x:v>Terverifikasi</x:v>
      </x:c>
    </x:row>
    <x:row r="29" ht="92" customHeight="1">
      <x:c r="A29" s="2" t="str">
        <x:v>6.1</x:v>
      </x:c>
      <x:c r="B29" s="4" t="str">
        <x:v>EX-04; EX-05; FR-13</x:v>
      </x:c>
      <x:c r="C29" s="4" t="str">
        <x:v>BP-00..BP-16</x:v>
      </x:c>
      <x:c r="D29" s="4" t="str">
        <x:v>25 Okt 2026: requirements dari PyPI/cache, pip check, migrasi, seed ulang dan 297 tes lulus. Python 3.12.14; hasil lokal, terpisah dari host Linux.</x:v>
      </x:c>
      <x:c r="E29" s="4" t="str">
        <x:v>Rancangan teknis</x:v>
      </x:c>
      <x:c r="F29" s="4" t="str">
        <x:f>WBS!H37</x:f>
        <x:v>Terverifikasi</x:v>
      </x:c>
    </x:row>
    <x:row r="30" ht="78" customHeight="1">
      <x:c r="A30" s="14" t="str">
        <x:v>6.2</x:v>
      </x:c>
      <x:c r="B30" s="16" t="str">
        <x:v>FR-01..FR-13</x:v>
      </x:c>
      <x:c r="C30" s="16" t="str">
        <x:v>BP-00..BP-16</x:v>
      </x:c>
      <x:c r="D30" s="16" t="str">
        <x:v>TESTING: 297 tes Django, 62 pemeriksaan browser dan 7 kelompok UI AI lokal; bukti screenshot host terpisah.</x:v>
      </x:c>
      <x:c r="E30" s="16" t="str">
        <x:v>Kebutuhan produk</x:v>
      </x:c>
      <x:c r="F30" s="16" t="str">
        <x:f>WBS!H38</x:f>
        <x:v>Terverifikasi</x:v>
      </x:c>
    </x:row>
    <x:row r="31" ht="92" customHeight="1">
      <x:c r="A31" s="2" t="str">
        <x:v>6.3</x:v>
      </x:c>
      <x:c r="B31" s="4" t="str">
        <x:v>FR-01; FR-12; FR-13</x:v>
      </x:c>
      <x:c r="C31" s="4" t="str">
        <x:v>BP-00; BP-02; BP-13</x:v>
      </x:c>
      <x:c r="D31" s="4" t="str">
        <x:v>Screenshot hosting: check --deploy hanya W005/W021, migrate --check tanpa error, izin folder privat 700 dan kedua file 600. Pemeriksaan HTTP/aset lulus.</x:v>
      </x:c>
      <x:c r="E31" s="4" t="str">
        <x:v>Kebutuhan produk</x:v>
      </x:c>
      <x:c r="F31" s="4" t="str">
        <x:f>WBS!H39</x:f>
        <x:v>Terverifikasi</x:v>
      </x:c>
    </x:row>
    <x:row r="32" ht="92" customHeight="1">
      <x:c r="A32" s="14" t="str">
        <x:v>6.4</x:v>
      </x:c>
      <x:c r="B32" s="16" t="str">
        <x:v>EX-02; EX-03; EX-04; US-02</x:v>
      </x:c>
      <x:c r="C32" s="16" t="str">
        <x:v>Seluruh proses</x:v>
      </x:c>
      <x:c r="D32" s="16" t="str">
        <x:v>Remote main 5209c62 sudah diverifikasi. Paket dan lampiran tersedia; pengiriman lampiran serta informasi akses melalui email belum dikonfirmasi.</x:v>
      </x:c>
      <x:c r="E32" s="16" t="str">
        <x:v>Kelengkapan penyerahan</x:v>
      </x:c>
      <x:c r="F32" s="16" t="str">
        <x:f>WBS!H40</x:f>
        <x:v>Dikerjakan</x:v>
      </x:c>
    </x:row>
    <x:row r="33" ht="78" customHeight="1">
      <x:c r="A33" s="2" t="str">
        <x:v>7.1</x:v>
      </x:c>
      <x:c r="B33" s="4" t="str">
        <x:v>OPT-01; EX-07</x:v>
      </x:c>
      <x:c r="C33" s="4" t="str">
        <x:v>BP-01 (opsional)</x:v>
      </x:c>
      <x:c r="D33" s="4" t="str">
        <x:v>18 tes AI + 7 kelompok browser lokal; screenshot host teks/gambar → form → draf. Dokumen rumit dan none/low belum dibandingkan.</x:v>
      </x:c>
      <x:c r="E33" s="4" t="str">
        <x:v>Fitur tambahan opsional</x:v>
      </x:c>
      <x:c r="F33" s="4" t="str">
        <x:f>WBS!H42</x:f>
        <x:v>Terverifikasi</x:v>
      </x:c>
    </x:row>
  </x:sheetData>
  <x:mergeCells>
    <x:mergeCell ref="A2:F2"/>
    <x:mergeCell ref="A3:F3"/>
    <x:mergeCell ref="A4:F4"/>
  </x:mergeCells>
  <x:conditionalFormatting sqref="F7:F33">
    <x:cfRule type="containsText" dxfId="3" priority="1" operator="containsText" text="Direncanakan"/>
    <x:cfRule type="containsText" dxfId="2" priority="2" operator="containsText" text="Dikerjakan"/>
    <x:cfRule type="containsText" dxfId="1" priority="3" operator="containsText" text="Terverifikasi"/>
    <x:cfRule type="containsText" dxfId="0" priority="5" operator="containsText" text="Ditunda"/>
  </x:conditionalFormatting>
  <x:pageMargins left="0.7" right="0.7" top="0.75" bottom="0.75" header="0.3" footer="0.3"/>
  <x:tableParts count="1">
    <x:tablePart xmlns:r="http://schemas.openxmlformats.org/officeDocument/2006/relationships" r:id="Rbe368f3dce9e4704"/>
  </x:tableParts>
</x:worksheet>
</file>